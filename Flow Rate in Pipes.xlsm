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h\Desktop\engineeringclarity\flow in pipes\"/>
    </mc:Choice>
  </mc:AlternateContent>
  <xr:revisionPtr revIDLastSave="0" documentId="13_ncr:1_{4F269346-CD17-4A4A-BC58-70D562A40E5A}" xr6:coauthVersionLast="47" xr6:coauthVersionMax="47" xr10:uidLastSave="{00000000-0000-0000-0000-000000000000}"/>
  <bookViews>
    <workbookView xWindow="-120" yWindow="-120" windowWidth="20730" windowHeight="11160" tabRatio="908" activeTab="2" xr2:uid="{D486FD7C-5E36-468E-8707-F5ABC9A93268}"/>
  </bookViews>
  <sheets>
    <sheet name="darcy incompressible" sheetId="2" r:id="rId1"/>
    <sheet name="darcy compressible" sheetId="12" r:id="rId2"/>
    <sheet name="fanno flow" sheetId="13" r:id="rId3"/>
    <sheet name="gas properties" sheetId="11" state="hidden" r:id="rId4"/>
  </sheets>
  <functionGroups builtInGroupCount="19"/>
  <externalReferences>
    <externalReference r:id="rId5"/>
  </externalReferences>
  <definedNames>
    <definedName name="A">#REF!</definedName>
    <definedName name="c_1">#REF!</definedName>
    <definedName name="c_2">#REF!</definedName>
    <definedName name="cp">#REF!</definedName>
    <definedName name="D">#REF!</definedName>
    <definedName name="f">#REF!</definedName>
    <definedName name="Gam">#REF!</definedName>
    <definedName name="gc">#REF!</definedName>
    <definedName name="h_1">#REF!</definedName>
    <definedName name="h_2">#REF!</definedName>
    <definedName name="ho_1">#REF!</definedName>
    <definedName name="ho_2">#REF!</definedName>
    <definedName name="L">#REF!</definedName>
    <definedName name="M_1">#REF!</definedName>
    <definedName name="M_2">#REF!</definedName>
    <definedName name="mdot">#REF!</definedName>
    <definedName name="P_1">#REF!</definedName>
    <definedName name="P_2">#REF!</definedName>
    <definedName name="Po_1">#REF!</definedName>
    <definedName name="Po_2">#REF!</definedName>
    <definedName name="Rg">#REF!</definedName>
    <definedName name="rho_1">#REF!</definedName>
    <definedName name="rho_2">#REF!</definedName>
    <definedName name="T_1">#REF!</definedName>
    <definedName name="T_2">#REF!</definedName>
    <definedName name="To_1">#REF!</definedName>
    <definedName name="To_2">#REF!</definedName>
    <definedName name="V_1">#REF!</definedName>
    <definedName name="V_2">#REF!</definedName>
    <definedName name="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3" l="1"/>
  <c r="C60" i="13"/>
  <c r="H36" i="13"/>
  <c r="H35" i="13"/>
  <c r="C26" i="13"/>
  <c r="C58" i="13"/>
  <c r="C55" i="13"/>
  <c r="H34" i="13" s="1"/>
  <c r="C50" i="13"/>
  <c r="C42" i="13"/>
  <c r="C63" i="13"/>
  <c r="C45" i="13" s="1"/>
  <c r="C62" i="13"/>
  <c r="G3" i="13"/>
  <c r="G4" i="13" s="1"/>
  <c r="G5" i="13" s="1"/>
  <c r="C61" i="13"/>
  <c r="C20" i="2"/>
  <c r="C25" i="12"/>
  <c r="G3" i="12"/>
  <c r="G4" i="12" s="1"/>
  <c r="G5" i="12" s="1"/>
  <c r="G2" i="2"/>
  <c r="G3" i="2" s="1"/>
  <c r="G4" i="2" s="1"/>
  <c r="C53" i="2"/>
  <c r="C56" i="12"/>
  <c r="E45" i="13"/>
  <c r="E44" i="13"/>
  <c r="C54" i="13" l="1"/>
  <c r="C44" i="13"/>
  <c r="G44" i="13" s="1"/>
  <c r="H28" i="13"/>
  <c r="C53" i="13"/>
  <c r="G45" i="13"/>
  <c r="H27" i="13"/>
  <c r="H30" i="13"/>
  <c r="G11" i="13"/>
  <c r="H32" i="13"/>
  <c r="H29" i="13"/>
  <c r="H31" i="13"/>
  <c r="H33" i="13"/>
  <c r="C52" i="13" l="1"/>
  <c r="H35" i="12"/>
  <c r="H34" i="12"/>
  <c r="C53" i="12"/>
  <c r="H28" i="12" s="1"/>
  <c r="C47" i="12"/>
  <c r="C39" i="12"/>
  <c r="C60" i="12"/>
  <c r="C42" i="12" s="1"/>
  <c r="C59" i="12"/>
  <c r="C58" i="12"/>
  <c r="C50" i="2"/>
  <c r="E42" i="12"/>
  <c r="E41" i="12"/>
  <c r="G7" i="13" l="1"/>
  <c r="G6" i="13" s="1"/>
  <c r="C51" i="13"/>
  <c r="F35" i="13" s="1"/>
  <c r="G11" i="12"/>
  <c r="H33" i="12"/>
  <c r="H29" i="12"/>
  <c r="H26" i="12"/>
  <c r="H27" i="12"/>
  <c r="H32" i="12"/>
  <c r="H31" i="12"/>
  <c r="H30" i="12"/>
  <c r="C41" i="12"/>
  <c r="C49" i="12" s="1"/>
  <c r="C51" i="12"/>
  <c r="G42" i="12"/>
  <c r="C50" i="12"/>
  <c r="G8" i="13" l="1"/>
  <c r="F32" i="13"/>
  <c r="F28" i="13"/>
  <c r="F29" i="13"/>
  <c r="F36" i="13"/>
  <c r="F31" i="13"/>
  <c r="F27" i="13"/>
  <c r="C47" i="13"/>
  <c r="C49" i="13" s="1"/>
  <c r="F34" i="13"/>
  <c r="F30" i="13"/>
  <c r="F33" i="13"/>
  <c r="G7" i="12"/>
  <c r="G6" i="12" s="1"/>
  <c r="C48" i="12"/>
  <c r="G41" i="12"/>
  <c r="C19" i="12"/>
  <c r="C48" i="13" l="1"/>
  <c r="C57" i="13"/>
  <c r="F26" i="13" s="1"/>
  <c r="F37" i="13" s="1"/>
  <c r="F35" i="12"/>
  <c r="F34" i="12"/>
  <c r="G8" i="12"/>
  <c r="F33" i="12"/>
  <c r="F28" i="12"/>
  <c r="F31" i="12"/>
  <c r="F27" i="12"/>
  <c r="F30" i="12"/>
  <c r="F29" i="12"/>
  <c r="F32" i="12"/>
  <c r="F26" i="12"/>
  <c r="C44" i="12"/>
  <c r="H26" i="13" l="1"/>
  <c r="H37" i="13" s="1"/>
  <c r="C59" i="13" s="1"/>
  <c r="C15" i="13" s="1"/>
  <c r="C2" i="13" s="1"/>
  <c r="C46" i="12"/>
  <c r="C45" i="12"/>
  <c r="C55" i="12" l="1"/>
  <c r="F25" i="12" s="1"/>
  <c r="F36" i="12" s="1"/>
  <c r="G9" i="13"/>
  <c r="C11" i="13" s="1"/>
  <c r="G10" i="13" s="1"/>
  <c r="C20" i="13" l="1"/>
  <c r="C21" i="13" s="1"/>
  <c r="H25" i="12"/>
  <c r="H36" i="12" s="1"/>
  <c r="G9" i="12" l="1"/>
  <c r="C11" i="12" s="1"/>
  <c r="G10" i="12" s="1"/>
  <c r="C57" i="12"/>
  <c r="C15" i="12" s="1"/>
  <c r="C2" i="12" s="1"/>
  <c r="C45" i="2"/>
  <c r="C35" i="2"/>
  <c r="C57" i="2"/>
  <c r="C40" i="2" s="1"/>
  <c r="C48" i="2" s="1"/>
  <c r="C55" i="2"/>
  <c r="C54" i="2"/>
  <c r="E38" i="2"/>
  <c r="E40" i="2"/>
  <c r="E37" i="2"/>
  <c r="C20" i="12" l="1"/>
  <c r="C21" i="12" s="1"/>
  <c r="C38" i="2"/>
  <c r="G38" i="2" s="1"/>
  <c r="E39" i="2"/>
  <c r="C49" i="2"/>
  <c r="G40" i="2"/>
  <c r="C37" i="2"/>
  <c r="C39" i="2" l="1"/>
  <c r="G39" i="2" s="1"/>
  <c r="G37" i="2"/>
  <c r="C47" i="2" l="1"/>
  <c r="C14" i="2" s="1"/>
  <c r="G6" i="2" l="1"/>
  <c r="G5" i="2" s="1"/>
  <c r="C46" i="2"/>
  <c r="F30" i="2" s="1"/>
  <c r="G7" i="2" l="1"/>
  <c r="C42" i="2"/>
  <c r="F25" i="2"/>
  <c r="F24" i="2"/>
  <c r="F26" i="2"/>
  <c r="F27" i="2"/>
  <c r="F28" i="2"/>
  <c r="F22" i="2"/>
  <c r="F23" i="2"/>
  <c r="F21" i="2"/>
  <c r="F29" i="2"/>
  <c r="C44" i="2"/>
  <c r="C52" i="2" s="1"/>
  <c r="C43" i="2"/>
  <c r="F20" i="2" l="1"/>
  <c r="F31" i="2" s="1"/>
  <c r="C15" i="2" s="1"/>
  <c r="C16" i="2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<sst xmlns="http://schemas.openxmlformats.org/spreadsheetml/2006/main" count="354" uniqueCount="105">
  <si>
    <t>STATUS</t>
  </si>
  <si>
    <t>Fluid Type</t>
  </si>
  <si>
    <t>[-]</t>
  </si>
  <si>
    <t>kg/hr</t>
  </si>
  <si>
    <t>F</t>
  </si>
  <si>
    <t>in</t>
  </si>
  <si>
    <t>ft</t>
  </si>
  <si>
    <t>Molecular Weight</t>
  </si>
  <si>
    <t>g/mol</t>
  </si>
  <si>
    <t>Viscosity</t>
  </si>
  <si>
    <t>Density</t>
  </si>
  <si>
    <t>Reynolds Number</t>
  </si>
  <si>
    <t>pipe length</t>
  </si>
  <si>
    <t>mass flow rate</t>
  </si>
  <si>
    <t>m/s</t>
  </si>
  <si>
    <t>c</t>
  </si>
  <si>
    <t>K</t>
  </si>
  <si>
    <t>kg/min</t>
  </si>
  <si>
    <t>pipe roughness</t>
  </si>
  <si>
    <t>Item</t>
  </si>
  <si>
    <t>QTY</t>
  </si>
  <si>
    <t>Pipe</t>
  </si>
  <si>
    <t>L's 45</t>
  </si>
  <si>
    <t>Elbows 90</t>
  </si>
  <si>
    <t>Bends 90</t>
  </si>
  <si>
    <t>Ball Valve</t>
  </si>
  <si>
    <t>Check Valve</t>
  </si>
  <si>
    <t>Globe Valve</t>
  </si>
  <si>
    <t>T's (branch)</t>
  </si>
  <si>
    <t>T's (run)</t>
  </si>
  <si>
    <t>Entrance</t>
  </si>
  <si>
    <t>Exit</t>
  </si>
  <si>
    <t>Y</t>
  </si>
  <si>
    <t>SCFM</t>
  </si>
  <si>
    <t>FITTINGS &amp; VALVES</t>
  </si>
  <si>
    <t>Pin</t>
  </si>
  <si>
    <t>Pout</t>
  </si>
  <si>
    <t>psig</t>
  </si>
  <si>
    <t>INPUT</t>
  </si>
  <si>
    <t>OUTPUT</t>
  </si>
  <si>
    <t>HYDROGEN</t>
  </si>
  <si>
    <t>WATER</t>
  </si>
  <si>
    <t>INLET TEMP</t>
  </si>
  <si>
    <t>Pa</t>
  </si>
  <si>
    <t xml:space="preserve">R </t>
  </si>
  <si>
    <t>Pa*m^3/(mol*K)</t>
  </si>
  <si>
    <t>substance</t>
  </si>
  <si>
    <t>molar mass (g/mol)</t>
  </si>
  <si>
    <t>ARGON</t>
  </si>
  <si>
    <t>HELIUM</t>
  </si>
  <si>
    <t>NITROGEN</t>
  </si>
  <si>
    <t>kg/m^3</t>
  </si>
  <si>
    <t>DIFFERENCE</t>
  </si>
  <si>
    <t>AIR</t>
  </si>
  <si>
    <t>CALCULATED</t>
  </si>
  <si>
    <t>COOLPROP</t>
  </si>
  <si>
    <t>Pa*s</t>
  </si>
  <si>
    <t>lbm/hr</t>
  </si>
  <si>
    <t>Area</t>
  </si>
  <si>
    <t>ID</t>
  </si>
  <si>
    <t>velocity</t>
  </si>
  <si>
    <t>density used</t>
  </si>
  <si>
    <t>use calc (1) or coolprop (0)?</t>
  </si>
  <si>
    <t>Viscosity used</t>
  </si>
  <si>
    <t>Friction Factor (low Re)</t>
  </si>
  <si>
    <t>Friction Factor (high Re)</t>
  </si>
  <si>
    <t>specific heat ratio</t>
  </si>
  <si>
    <t>k</t>
  </si>
  <si>
    <t>speed of sound</t>
  </si>
  <si>
    <t>mach number</t>
  </si>
  <si>
    <t>elevation change</t>
  </si>
  <si>
    <t>SOLVER</t>
  </si>
  <si>
    <t>LEFT SIDE</t>
  </si>
  <si>
    <t>hL</t>
  </si>
  <si>
    <t xml:space="preserve"> FLUID PROPERTIES</t>
  </si>
  <si>
    <t>g</t>
  </si>
  <si>
    <t>m/s2</t>
  </si>
  <si>
    <t>f(L/D)V^2/(2*g)</t>
  </si>
  <si>
    <t>pipe friction factor used</t>
  </si>
  <si>
    <t>friction factor used for minor losses</t>
  </si>
  <si>
    <t>KV^2/(2*g)</t>
  </si>
  <si>
    <t>K=(#*fT)</t>
  </si>
  <si>
    <t>fT</t>
  </si>
  <si>
    <t>sum</t>
  </si>
  <si>
    <t>RIGHT SIDE</t>
  </si>
  <si>
    <t>solver</t>
  </si>
  <si>
    <t>lb/min</t>
  </si>
  <si>
    <t>ft^3/min</t>
  </si>
  <si>
    <t>f(L/D)</t>
  </si>
  <si>
    <t>dP/P</t>
  </si>
  <si>
    <t>ACFM</t>
  </si>
  <si>
    <t>density std</t>
  </si>
  <si>
    <t>density STD (kg/m^3)</t>
  </si>
  <si>
    <t>dP/P_choked</t>
  </si>
  <si>
    <t>P2_choked</t>
  </si>
  <si>
    <t>m^2</t>
  </si>
  <si>
    <t>Density in</t>
  </si>
  <si>
    <t>Density out</t>
  </si>
  <si>
    <t>Density avg</t>
  </si>
  <si>
    <t>calculated</t>
  </si>
  <si>
    <t>Specific gravity (Gg)</t>
  </si>
  <si>
    <t>MW</t>
  </si>
  <si>
    <t>use calc (1) or coolprop (0)</t>
  </si>
  <si>
    <t>isothermal/ adiabatic/ calculated?</t>
  </si>
  <si>
    <t>Pout_CHOKED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</si>
</sst>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0"/>
    <numFmt numFmtId="166" formatCode="0.0000"/>
    <numFmt numFmtId="167" formatCode="0.0"/>
    <numFmt numFmtId="170" formatCode="#,##0.000"/>
    <numFmt numFmtId="171" formatCode="0.0%"/>
    <numFmt numFmtId="172" formatCode="_(* #,##0_);_(* \(#,##0\);_(* &quot;-&quot;??_);_(@_)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rgb="FF7F8C8D"/>
      <name val="Aptos Narrow"/>
      <family val="2"/>
      <scheme val="minor"/>
    </font>
    <font>
      <sz val="9"/>
      <name val="Aptos Narrow"/>
      <family val="2"/>
      <scheme val="minor"/>
    </font>
    <font>
      <sz val="10"/>
      <name val="Aptos Narrow"/>
      <family val="2"/>
      <scheme val="minor"/>
    </font>
    <font>
      <b/>
      <sz val="11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10"/>
      <color rgb="FF7F8C8D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5F8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5A5A6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8FFF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994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F8F8F8"/>
        <bgColor indexed="64"/>
      </patternFill>
    </fill>
  </fills>
  <borders count="2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95A5A6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medium">
        <color rgb="FF95A5A6"/>
      </left>
      <right/>
      <top style="medium">
        <color rgb="FF95A5A6"/>
      </top>
      <bottom style="medium">
        <color rgb="FF95A5A6"/>
      </bottom>
      <diagonal/>
    </border>
    <border>
      <left/>
      <right/>
      <top style="medium">
        <color rgb="FF95A5A6"/>
      </top>
      <bottom style="medium">
        <color rgb="FF95A5A6"/>
      </bottom>
      <diagonal/>
    </border>
    <border>
      <left/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/>
      <bottom style="thin">
        <color rgb="FF4A90E2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/>
      <diagonal/>
    </border>
    <border>
      <left style="medium">
        <color rgb="FF646464"/>
      </left>
      <right/>
      <top style="medium">
        <color rgb="FF646464"/>
      </top>
      <bottom/>
      <diagonal/>
    </border>
    <border>
      <left/>
      <right/>
      <top style="medium">
        <color rgb="FF646464"/>
      </top>
      <bottom/>
      <diagonal/>
    </border>
    <border>
      <left/>
      <right style="thin">
        <color indexed="64"/>
      </right>
      <top style="medium">
        <color rgb="FF646464"/>
      </top>
      <bottom/>
      <diagonal/>
    </border>
    <border>
      <left/>
      <right style="medium">
        <color rgb="FF646464"/>
      </right>
      <top style="medium">
        <color rgb="FF646464"/>
      </top>
      <bottom/>
      <diagonal/>
    </border>
    <border>
      <left style="medium">
        <color rgb="FF6464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646464"/>
      </right>
      <top style="thin">
        <color indexed="64"/>
      </top>
      <bottom style="thin">
        <color indexed="64"/>
      </bottom>
      <diagonal/>
    </border>
    <border>
      <left style="medium">
        <color rgb="FF6464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46464"/>
      </left>
      <right style="thin">
        <color indexed="64"/>
      </right>
      <top style="thin">
        <color indexed="64"/>
      </top>
      <bottom/>
      <diagonal/>
    </border>
    <border>
      <left style="medium">
        <color rgb="FF646464"/>
      </left>
      <right style="thin">
        <color indexed="64"/>
      </right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medium">
        <color rgb="FF95A5A6"/>
      </left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 style="medium">
        <color rgb="FF95A5A6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/>
      <bottom style="thin">
        <color rgb="FFDCDCDC"/>
      </bottom>
      <diagonal/>
    </border>
    <border>
      <left style="thin">
        <color indexed="64"/>
      </left>
      <right style="medium">
        <color rgb="FF646464"/>
      </right>
      <top style="thin">
        <color indexed="64"/>
      </top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  <xf numFmtId="0" fontId="7" fillId="3" borderId="6" applyNumberFormat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0" fontId="6" fillId="0" borderId="2" xfId="0" applyFont="1" applyBorder="1" applyAlignment="1">
      <alignment horizontal="left"/>
    </xf>
    <xf numFmtId="2" fontId="5" fillId="0" borderId="2" xfId="0" applyNumberFormat="1" applyFont="1" applyBorder="1"/>
    <xf numFmtId="0" fontId="5" fillId="0" borderId="2" xfId="0" applyFont="1" applyBorder="1"/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1" fillId="8" borderId="7" xfId="0" applyFont="1" applyFill="1" applyBorder="1" applyAlignment="1">
      <alignment horizontal="center"/>
    </xf>
    <xf numFmtId="11" fontId="1" fillId="8" borderId="7" xfId="0" applyNumberFormat="1" applyFont="1" applyFill="1" applyBorder="1" applyAlignment="1">
      <alignment horizontal="center"/>
    </xf>
    <xf numFmtId="0" fontId="10" fillId="5" borderId="7" xfId="0" applyFont="1" applyFill="1" applyBorder="1" applyAlignment="1">
      <alignment horizontal="left" vertical="center"/>
    </xf>
    <xf numFmtId="0" fontId="11" fillId="5" borderId="7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0" fillId="0" borderId="2" xfId="0" applyFill="1" applyBorder="1"/>
    <xf numFmtId="0" fontId="0" fillId="0" borderId="0" xfId="0" applyAlignment="1">
      <alignment vertical="center" readingOrder="1"/>
    </xf>
    <xf numFmtId="170" fontId="1" fillId="7" borderId="11" xfId="0" applyNumberFormat="1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164" fontId="1" fillId="7" borderId="11" xfId="0" applyNumberFormat="1" applyFont="1" applyFill="1" applyBorder="1" applyAlignment="1">
      <alignment horizontal="center"/>
    </xf>
    <xf numFmtId="2" fontId="1" fillId="7" borderId="11" xfId="0" applyNumberFormat="1" applyFont="1" applyFill="1" applyBorder="1" applyAlignment="1">
      <alignment horizontal="center"/>
    </xf>
    <xf numFmtId="167" fontId="1" fillId="7" borderId="11" xfId="0" applyNumberFormat="1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171" fontId="1" fillId="7" borderId="11" xfId="1" applyNumberFormat="1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left" vertical="center"/>
    </xf>
    <xf numFmtId="2" fontId="1" fillId="7" borderId="12" xfId="0" applyNumberFormat="1" applyFont="1" applyFill="1" applyBorder="1" applyAlignment="1">
      <alignment horizontal="center"/>
    </xf>
    <xf numFmtId="11" fontId="1" fillId="7" borderId="11" xfId="0" applyNumberFormat="1" applyFont="1" applyFill="1" applyBorder="1" applyAlignment="1">
      <alignment horizontal="center"/>
    </xf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167" fontId="0" fillId="0" borderId="0" xfId="0" applyNumberFormat="1" applyBorder="1"/>
    <xf numFmtId="0" fontId="0" fillId="0" borderId="0" xfId="0" applyBorder="1" applyAlignment="1">
      <alignment horizontal="center"/>
    </xf>
    <xf numFmtId="167" fontId="1" fillId="7" borderId="0" xfId="0" applyNumberFormat="1" applyFont="1" applyFill="1" applyBorder="1" applyAlignment="1">
      <alignment horizontal="center"/>
    </xf>
    <xf numFmtId="2" fontId="1" fillId="7" borderId="0" xfId="0" applyNumberFormat="1" applyFont="1" applyFill="1" applyBorder="1" applyAlignment="1">
      <alignment horizontal="center"/>
    </xf>
    <xf numFmtId="2" fontId="1" fillId="8" borderId="7" xfId="0" applyNumberFormat="1" applyFont="1" applyFill="1" applyBorder="1" applyAlignment="1">
      <alignment horizontal="center"/>
    </xf>
    <xf numFmtId="167" fontId="1" fillId="7" borderId="11" xfId="0" applyNumberFormat="1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left"/>
    </xf>
    <xf numFmtId="167" fontId="1" fillId="7" borderId="13" xfId="0" applyNumberFormat="1" applyFont="1" applyFill="1" applyBorder="1" applyAlignment="1">
      <alignment horizontal="center"/>
    </xf>
    <xf numFmtId="2" fontId="1" fillId="7" borderId="1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2" xfId="0" applyFill="1" applyBorder="1"/>
    <xf numFmtId="167" fontId="0" fillId="5" borderId="2" xfId="0" applyNumberFormat="1" applyFill="1" applyBorder="1"/>
    <xf numFmtId="167" fontId="0" fillId="5" borderId="0" xfId="0" applyNumberFormat="1" applyFill="1" applyBorder="1"/>
    <xf numFmtId="167" fontId="1" fillId="5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0" fillId="5" borderId="0" xfId="0" applyNumberFormat="1" applyFill="1"/>
    <xf numFmtId="0" fontId="6" fillId="5" borderId="2" xfId="0" applyFont="1" applyFill="1" applyBorder="1" applyAlignment="1">
      <alignment horizontal="left"/>
    </xf>
    <xf numFmtId="2" fontId="5" fillId="5" borderId="2" xfId="0" applyNumberFormat="1" applyFont="1" applyFill="1" applyBorder="1"/>
    <xf numFmtId="0" fontId="5" fillId="5" borderId="2" xfId="0" applyFont="1" applyFill="1" applyBorder="1"/>
    <xf numFmtId="2" fontId="0" fillId="5" borderId="2" xfId="0" applyNumberFormat="1" applyFill="1" applyBorder="1"/>
    <xf numFmtId="164" fontId="0" fillId="5" borderId="2" xfId="0" applyNumberFormat="1" applyFill="1" applyBorder="1"/>
    <xf numFmtId="2" fontId="0" fillId="5" borderId="0" xfId="0" applyNumberFormat="1" applyFill="1"/>
    <xf numFmtId="0" fontId="0" fillId="5" borderId="0" xfId="0" applyFill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2" fontId="1" fillId="5" borderId="12" xfId="0" applyNumberFormat="1" applyFont="1" applyFill="1" applyBorder="1" applyAlignment="1">
      <alignment horizontal="center"/>
    </xf>
    <xf numFmtId="167" fontId="1" fillId="5" borderId="11" xfId="0" applyNumberFormat="1" applyFont="1" applyFill="1" applyBorder="1" applyAlignment="1">
      <alignment horizontal="center"/>
    </xf>
    <xf numFmtId="2" fontId="1" fillId="5" borderId="11" xfId="0" applyNumberFormat="1" applyFont="1" applyFill="1" applyBorder="1" applyAlignment="1">
      <alignment horizontal="center"/>
    </xf>
    <xf numFmtId="171" fontId="1" fillId="5" borderId="11" xfId="1" applyNumberFormat="1" applyFont="1" applyFill="1" applyBorder="1" applyAlignment="1">
      <alignment horizontal="center"/>
    </xf>
    <xf numFmtId="11" fontId="1" fillId="5" borderId="11" xfId="0" applyNumberFormat="1" applyFont="1" applyFill="1" applyBorder="1" applyAlignment="1">
      <alignment horizontal="center"/>
    </xf>
    <xf numFmtId="170" fontId="1" fillId="5" borderId="11" xfId="0" applyNumberFormat="1" applyFont="1" applyFill="1" applyBorder="1" applyAlignment="1">
      <alignment horizontal="center"/>
    </xf>
    <xf numFmtId="11" fontId="1" fillId="5" borderId="7" xfId="0" applyNumberFormat="1" applyFont="1" applyFill="1" applyBorder="1" applyAlignment="1">
      <alignment horizontal="center"/>
    </xf>
    <xf numFmtId="2" fontId="1" fillId="5" borderId="7" xfId="0" applyNumberFormat="1" applyFont="1" applyFill="1" applyBorder="1" applyAlignment="1">
      <alignment horizontal="center"/>
    </xf>
    <xf numFmtId="164" fontId="1" fillId="5" borderId="11" xfId="0" applyNumberFormat="1" applyFont="1" applyFill="1" applyBorder="1" applyAlignment="1">
      <alignment horizontal="center"/>
    </xf>
    <xf numFmtId="167" fontId="1" fillId="5" borderId="11" xfId="0" applyNumberFormat="1" applyFont="1" applyFill="1" applyBorder="1" applyAlignment="1">
      <alignment horizontal="center" wrapText="1"/>
    </xf>
    <xf numFmtId="167" fontId="1" fillId="5" borderId="13" xfId="0" applyNumberFormat="1" applyFont="1" applyFill="1" applyBorder="1" applyAlignment="1">
      <alignment horizontal="center"/>
    </xf>
    <xf numFmtId="2" fontId="1" fillId="5" borderId="13" xfId="0" applyNumberFormat="1" applyFont="1" applyFill="1" applyBorder="1" applyAlignment="1">
      <alignment horizontal="center"/>
    </xf>
    <xf numFmtId="2" fontId="1" fillId="5" borderId="0" xfId="0" applyNumberFormat="1" applyFont="1" applyFill="1" applyBorder="1" applyAlignment="1">
      <alignment horizontal="center"/>
    </xf>
    <xf numFmtId="0" fontId="6" fillId="5" borderId="0" xfId="0" applyFont="1" applyFill="1" applyBorder="1" applyAlignment="1">
      <alignment horizontal="left"/>
    </xf>
    <xf numFmtId="0" fontId="0" fillId="5" borderId="15" xfId="0" applyFill="1" applyBorder="1"/>
    <xf numFmtId="0" fontId="0" fillId="5" borderId="17" xfId="0" applyFill="1" applyBorder="1"/>
    <xf numFmtId="0" fontId="0" fillId="5" borderId="14" xfId="0" applyFill="1" applyBorder="1"/>
    <xf numFmtId="167" fontId="1" fillId="9" borderId="14" xfId="0" applyNumberFormat="1" applyFont="1" applyFill="1" applyBorder="1" applyAlignment="1"/>
    <xf numFmtId="167" fontId="1" fillId="9" borderId="16" xfId="0" applyNumberFormat="1" applyFont="1" applyFill="1" applyBorder="1" applyAlignment="1"/>
    <xf numFmtId="0" fontId="13" fillId="5" borderId="2" xfId="0" applyFont="1" applyFill="1" applyBorder="1"/>
    <xf numFmtId="0" fontId="9" fillId="6" borderId="8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5" borderId="2" xfId="0" applyFill="1" applyBorder="1" applyProtection="1">
      <protection hidden="1"/>
    </xf>
    <xf numFmtId="167" fontId="0" fillId="5" borderId="2" xfId="0" applyNumberFormat="1" applyFill="1" applyBorder="1" applyProtection="1">
      <protection hidden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14" fillId="5" borderId="2" xfId="0" applyFont="1" applyFill="1" applyBorder="1" applyAlignment="1">
      <alignment horizontal="left"/>
    </xf>
    <xf numFmtId="0" fontId="14" fillId="5" borderId="4" xfId="0" applyFont="1" applyFill="1" applyBorder="1" applyAlignment="1">
      <alignment horizontal="left"/>
    </xf>
    <xf numFmtId="0" fontId="15" fillId="5" borderId="2" xfId="0" applyFont="1" applyFill="1" applyBorder="1"/>
    <xf numFmtId="0" fontId="17" fillId="15" borderId="2" xfId="0" applyFont="1" applyFill="1" applyBorder="1" applyAlignment="1">
      <alignment horizontal="center"/>
    </xf>
    <xf numFmtId="2" fontId="13" fillId="5" borderId="2" xfId="0" applyNumberFormat="1" applyFont="1" applyFill="1" applyBorder="1"/>
    <xf numFmtId="2" fontId="15" fillId="5" borderId="2" xfId="0" applyNumberFormat="1" applyFont="1" applyFill="1" applyBorder="1"/>
    <xf numFmtId="0" fontId="15" fillId="5" borderId="2" xfId="0" applyFont="1" applyFill="1" applyBorder="1" applyAlignment="1">
      <alignment horizontal="center" vertical="center"/>
    </xf>
    <xf numFmtId="0" fontId="15" fillId="5" borderId="23" xfId="0" applyFont="1" applyFill="1" applyBorder="1"/>
    <xf numFmtId="0" fontId="15" fillId="5" borderId="23" xfId="0" applyFont="1" applyFill="1" applyBorder="1" applyAlignment="1">
      <alignment horizontal="center"/>
    </xf>
    <xf numFmtId="0" fontId="10" fillId="5" borderId="23" xfId="0" applyFont="1" applyFill="1" applyBorder="1" applyAlignment="1">
      <alignment horizontal="left" vertical="center"/>
    </xf>
    <xf numFmtId="0" fontId="10" fillId="5" borderId="23" xfId="0" applyFont="1" applyFill="1" applyBorder="1" applyAlignment="1">
      <alignment horizontal="center"/>
    </xf>
    <xf numFmtId="0" fontId="13" fillId="5" borderId="23" xfId="0" applyFont="1" applyFill="1" applyBorder="1" applyAlignment="1">
      <alignment horizontal="center"/>
    </xf>
    <xf numFmtId="0" fontId="18" fillId="5" borderId="23" xfId="0" applyFont="1" applyFill="1" applyBorder="1" applyAlignment="1">
      <alignment horizontal="center"/>
    </xf>
    <xf numFmtId="2" fontId="10" fillId="5" borderId="23" xfId="0" applyNumberFormat="1" applyFont="1" applyFill="1" applyBorder="1" applyAlignment="1">
      <alignment horizontal="center"/>
    </xf>
    <xf numFmtId="167" fontId="10" fillId="5" borderId="23" xfId="0" applyNumberFormat="1" applyFont="1" applyFill="1" applyBorder="1" applyAlignment="1">
      <alignment horizontal="center"/>
    </xf>
    <xf numFmtId="171" fontId="10" fillId="5" borderId="23" xfId="1" applyNumberFormat="1" applyFont="1" applyFill="1" applyBorder="1" applyAlignment="1">
      <alignment horizontal="center"/>
    </xf>
    <xf numFmtId="170" fontId="10" fillId="5" borderId="23" xfId="0" applyNumberFormat="1" applyFont="1" applyFill="1" applyBorder="1" applyAlignment="1">
      <alignment horizontal="center"/>
    </xf>
    <xf numFmtId="167" fontId="10" fillId="5" borderId="23" xfId="0" applyNumberFormat="1" applyFont="1" applyFill="1" applyBorder="1" applyAlignment="1">
      <alignment horizontal="center" wrapText="1"/>
    </xf>
    <xf numFmtId="0" fontId="15" fillId="16" borderId="23" xfId="0" applyFont="1" applyFill="1" applyBorder="1"/>
    <xf numFmtId="0" fontId="10" fillId="16" borderId="23" xfId="0" applyFont="1" applyFill="1" applyBorder="1" applyAlignment="1">
      <alignment horizontal="left" vertical="center"/>
    </xf>
    <xf numFmtId="0" fontId="13" fillId="16" borderId="23" xfId="0" applyFont="1" applyFill="1" applyBorder="1" applyAlignment="1">
      <alignment horizontal="center"/>
    </xf>
    <xf numFmtId="0" fontId="10" fillId="16" borderId="23" xfId="0" applyFont="1" applyFill="1" applyBorder="1" applyAlignment="1">
      <alignment horizontal="center"/>
    </xf>
    <xf numFmtId="0" fontId="18" fillId="16" borderId="23" xfId="0" applyFont="1" applyFill="1" applyBorder="1" applyAlignment="1">
      <alignment horizontal="center"/>
    </xf>
    <xf numFmtId="2" fontId="10" fillId="16" borderId="23" xfId="0" applyNumberFormat="1" applyFont="1" applyFill="1" applyBorder="1" applyAlignment="1">
      <alignment horizontal="center"/>
    </xf>
    <xf numFmtId="167" fontId="10" fillId="16" borderId="23" xfId="0" applyNumberFormat="1" applyFont="1" applyFill="1" applyBorder="1" applyAlignment="1">
      <alignment horizontal="center"/>
    </xf>
    <xf numFmtId="171" fontId="10" fillId="16" borderId="23" xfId="1" applyNumberFormat="1" applyFont="1" applyFill="1" applyBorder="1" applyAlignment="1">
      <alignment horizontal="center"/>
    </xf>
    <xf numFmtId="11" fontId="10" fillId="16" borderId="23" xfId="0" applyNumberFormat="1" applyFont="1" applyFill="1" applyBorder="1" applyAlignment="1">
      <alignment horizontal="center"/>
    </xf>
    <xf numFmtId="164" fontId="10" fillId="16" borderId="23" xfId="0" applyNumberFormat="1" applyFont="1" applyFill="1" applyBorder="1" applyAlignment="1">
      <alignment horizontal="center"/>
    </xf>
    <xf numFmtId="0" fontId="0" fillId="0" borderId="0" xfId="0"/>
    <xf numFmtId="0" fontId="8" fillId="14" borderId="24" xfId="0" applyFont="1" applyFill="1" applyBorder="1" applyAlignment="1">
      <alignment horizontal="center"/>
    </xf>
    <xf numFmtId="0" fontId="8" fillId="14" borderId="25" xfId="0" applyFont="1" applyFill="1" applyBorder="1" applyAlignment="1">
      <alignment horizontal="center"/>
    </xf>
    <xf numFmtId="0" fontId="8" fillId="14" borderId="26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left"/>
    </xf>
    <xf numFmtId="0" fontId="5" fillId="5" borderId="0" xfId="0" applyFont="1" applyFill="1"/>
    <xf numFmtId="167" fontId="16" fillId="16" borderId="2" xfId="0" applyNumberFormat="1" applyFont="1" applyFill="1" applyBorder="1" applyAlignment="1">
      <alignment horizontal="left"/>
    </xf>
    <xf numFmtId="0" fontId="14" fillId="5" borderId="4" xfId="0" applyFont="1" applyFill="1" applyBorder="1" applyAlignment="1">
      <alignment horizontal="right" wrapText="1"/>
    </xf>
    <xf numFmtId="0" fontId="14" fillId="5" borderId="3" xfId="0" applyFont="1" applyFill="1" applyBorder="1" applyAlignment="1">
      <alignment horizontal="right" wrapText="1"/>
    </xf>
    <xf numFmtId="0" fontId="14" fillId="5" borderId="5" xfId="0" applyFont="1" applyFill="1" applyBorder="1" applyAlignment="1">
      <alignment horizontal="right" wrapText="1"/>
    </xf>
    <xf numFmtId="0" fontId="14" fillId="5" borderId="2" xfId="0" applyFont="1" applyFill="1" applyBorder="1" applyAlignment="1">
      <alignment horizontal="right"/>
    </xf>
    <xf numFmtId="0" fontId="14" fillId="5" borderId="2" xfId="0" applyFont="1" applyFill="1" applyBorder="1" applyAlignment="1">
      <alignment horizontal="right" wrapText="1"/>
    </xf>
    <xf numFmtId="167" fontId="7" fillId="3" borderId="6" xfId="4" applyNumberFormat="1" applyAlignment="1" applyProtection="1">
      <alignment horizontal="right"/>
      <protection locked="0"/>
    </xf>
    <xf numFmtId="2" fontId="7" fillId="3" borderId="6" xfId="4" applyNumberFormat="1" applyAlignment="1" applyProtection="1">
      <alignment horizontal="right"/>
      <protection locked="0"/>
    </xf>
    <xf numFmtId="0" fontId="5" fillId="2" borderId="1" xfId="2" applyFont="1" applyProtection="1">
      <protection locked="0"/>
    </xf>
    <xf numFmtId="167" fontId="5" fillId="2" borderId="1" xfId="2" applyNumberFormat="1" applyFont="1" applyProtection="1">
      <protection locked="0"/>
    </xf>
    <xf numFmtId="167" fontId="5" fillId="2" borderId="2" xfId="2" applyNumberFormat="1" applyFont="1" applyBorder="1" applyAlignment="1" applyProtection="1">
      <alignment horizontal="right" vertical="center"/>
      <protection locked="0"/>
    </xf>
    <xf numFmtId="0" fontId="5" fillId="2" borderId="2" xfId="2" applyFont="1" applyBorder="1" applyAlignment="1" applyProtection="1">
      <alignment horizontal="right" vertical="center"/>
      <protection locked="0"/>
    </xf>
    <xf numFmtId="166" fontId="5" fillId="2" borderId="2" xfId="2" applyNumberFormat="1" applyFont="1" applyBorder="1" applyAlignment="1" applyProtection="1">
      <alignment horizontal="right" vertical="center"/>
      <protection locked="0"/>
    </xf>
    <xf numFmtId="0" fontId="5" fillId="2" borderId="2" xfId="2" applyFont="1" applyBorder="1" applyProtection="1">
      <protection locked="0"/>
    </xf>
    <xf numFmtId="2" fontId="5" fillId="2" borderId="2" xfId="2" applyNumberFormat="1" applyFont="1" applyBorder="1" applyAlignment="1" applyProtection="1">
      <alignment horizontal="right" vertical="center"/>
      <protection locked="0"/>
    </xf>
    <xf numFmtId="0" fontId="1" fillId="10" borderId="2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right"/>
    </xf>
    <xf numFmtId="0" fontId="1" fillId="0" borderId="21" xfId="0" applyFont="1" applyFill="1" applyBorder="1" applyAlignment="1">
      <alignment horizontal="right"/>
    </xf>
    <xf numFmtId="0" fontId="14" fillId="5" borderId="2" xfId="0" applyFont="1" applyFill="1" applyBorder="1" applyAlignment="1">
      <alignment horizontal="right" vertical="center"/>
    </xf>
    <xf numFmtId="0" fontId="1" fillId="0" borderId="21" xfId="0" applyFont="1" applyFill="1" applyBorder="1" applyAlignment="1">
      <alignment horizontal="right" vertical="center" wrapText="1"/>
    </xf>
    <xf numFmtId="0" fontId="1" fillId="0" borderId="22" xfId="0" applyFont="1" applyFill="1" applyBorder="1" applyAlignment="1">
      <alignment horizontal="right" vertical="center" wrapText="1"/>
    </xf>
    <xf numFmtId="0" fontId="1" fillId="0" borderId="18" xfId="0" applyFont="1" applyFill="1" applyBorder="1" applyAlignment="1">
      <alignment horizontal="right" vertical="center" wrapText="1"/>
    </xf>
    <xf numFmtId="167" fontId="1" fillId="5" borderId="2" xfId="0" applyNumberFormat="1" applyFont="1" applyFill="1" applyBorder="1" applyAlignment="1">
      <alignment horizontal="right" wrapText="1"/>
    </xf>
    <xf numFmtId="0" fontId="0" fillId="5" borderId="19" xfId="0" applyFill="1" applyBorder="1" applyAlignment="1">
      <alignment horizontal="left"/>
    </xf>
    <xf numFmtId="0" fontId="0" fillId="5" borderId="28" xfId="0" applyFill="1" applyBorder="1" applyAlignment="1">
      <alignment horizontal="left"/>
    </xf>
    <xf numFmtId="167" fontId="1" fillId="5" borderId="2" xfId="0" applyNumberFormat="1" applyFont="1" applyFill="1" applyBorder="1" applyAlignment="1">
      <alignment horizontal="left"/>
    </xf>
    <xf numFmtId="167" fontId="4" fillId="3" borderId="1" xfId="3" applyNumberFormat="1" applyAlignment="1" applyProtection="1">
      <alignment horizontal="right" vertical="center"/>
      <protection locked="0"/>
    </xf>
    <xf numFmtId="167" fontId="4" fillId="3" borderId="1" xfId="3" applyNumberFormat="1" applyAlignment="1" applyProtection="1">
      <alignment horizontal="right"/>
      <protection locked="0"/>
    </xf>
    <xf numFmtId="2" fontId="4" fillId="3" borderId="1" xfId="3" applyNumberFormat="1" applyAlignment="1">
      <alignment horizontal="right"/>
    </xf>
    <xf numFmtId="167" fontId="4" fillId="3" borderId="1" xfId="3" applyNumberFormat="1" applyAlignment="1">
      <alignment horizontal="right"/>
    </xf>
    <xf numFmtId="167" fontId="1" fillId="9" borderId="2" xfId="0" applyNumberFormat="1" applyFont="1" applyFill="1" applyBorder="1" applyAlignment="1"/>
    <xf numFmtId="167" fontId="1" fillId="9" borderId="2" xfId="0" applyNumberFormat="1" applyFont="1" applyFill="1" applyBorder="1" applyAlignment="1">
      <alignment horizontal="center" wrapText="1"/>
    </xf>
    <xf numFmtId="167" fontId="3" fillId="2" borderId="2" xfId="2" applyNumberFormat="1" applyBorder="1" applyAlignment="1" applyProtection="1">
      <alignment horizontal="right"/>
      <protection locked="0"/>
    </xf>
    <xf numFmtId="172" fontId="3" fillId="2" borderId="2" xfId="2" applyNumberFormat="1" applyBorder="1" applyAlignment="1" applyProtection="1">
      <alignment horizontal="right"/>
      <protection locked="0"/>
    </xf>
    <xf numFmtId="0" fontId="3" fillId="2" borderId="2" xfId="2" applyBorder="1" applyAlignment="1" applyProtection="1">
      <alignment horizontal="right"/>
      <protection locked="0"/>
    </xf>
    <xf numFmtId="2" fontId="3" fillId="2" borderId="2" xfId="2" applyNumberFormat="1" applyBorder="1" applyAlignment="1" applyProtection="1">
      <alignment horizontal="right"/>
      <protection locked="0"/>
    </xf>
    <xf numFmtId="166" fontId="3" fillId="2" borderId="2" xfId="2" applyNumberFormat="1" applyBorder="1" applyAlignment="1" applyProtection="1">
      <alignment horizontal="right"/>
      <protection locked="0"/>
    </xf>
    <xf numFmtId="167" fontId="4" fillId="3" borderId="2" xfId="3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2" xfId="0" applyBorder="1" applyAlignment="1">
      <alignment horizontal="right" vertical="center" wrapText="1"/>
    </xf>
    <xf numFmtId="1" fontId="4" fillId="3" borderId="2" xfId="3" applyNumberFormat="1" applyBorder="1" applyAlignment="1" applyProtection="1">
      <alignment horizontal="right"/>
      <protection locked="0"/>
    </xf>
    <xf numFmtId="1" fontId="4" fillId="3" borderId="2" xfId="3" applyNumberFormat="1" applyBorder="1" applyAlignment="1" applyProtection="1">
      <alignment horizontal="right" vertical="center"/>
      <protection locked="0"/>
    </xf>
    <xf numFmtId="167" fontId="4" fillId="3" borderId="2" xfId="3" applyNumberFormat="1" applyBorder="1" applyAlignment="1" applyProtection="1">
      <alignment horizontal="right"/>
      <protection locked="0"/>
    </xf>
    <xf numFmtId="165" fontId="0" fillId="0" borderId="2" xfId="0" applyNumberFormat="1" applyBorder="1"/>
    <xf numFmtId="164" fontId="3" fillId="2" borderId="2" xfId="2" applyNumberFormat="1" applyBorder="1" applyProtection="1">
      <protection locked="0"/>
    </xf>
    <xf numFmtId="0" fontId="15" fillId="13" borderId="2" xfId="0" applyFont="1" applyFill="1" applyBorder="1" applyAlignment="1">
      <alignment horizontal="center"/>
    </xf>
    <xf numFmtId="0" fontId="15" fillId="13" borderId="2" xfId="0" applyFont="1" applyFill="1" applyBorder="1"/>
    <xf numFmtId="167" fontId="15" fillId="13" borderId="2" xfId="0" applyNumberFormat="1" applyFont="1" applyFill="1" applyBorder="1"/>
    <xf numFmtId="167" fontId="5" fillId="2" borderId="2" xfId="2" applyNumberFormat="1" applyFont="1" applyBorder="1" applyProtection="1">
      <protection locked="0"/>
    </xf>
    <xf numFmtId="0" fontId="15" fillId="16" borderId="27" xfId="0" applyFont="1" applyFill="1" applyBorder="1" applyAlignment="1">
      <alignment horizontal="center"/>
    </xf>
    <xf numFmtId="0" fontId="15" fillId="16" borderId="27" xfId="0" applyFont="1" applyFill="1" applyBorder="1"/>
    <xf numFmtId="0" fontId="16" fillId="16" borderId="2" xfId="0" applyFont="1" applyFill="1" applyBorder="1" applyAlignment="1">
      <alignment horizontal="right"/>
    </xf>
    <xf numFmtId="2" fontId="13" fillId="16" borderId="2" xfId="0" applyNumberFormat="1" applyFont="1" applyFill="1" applyBorder="1" applyProtection="1"/>
    <xf numFmtId="0" fontId="13" fillId="16" borderId="2" xfId="0" applyFont="1" applyFill="1" applyBorder="1"/>
    <xf numFmtId="2" fontId="15" fillId="16" borderId="2" xfId="0" applyNumberFormat="1" applyFont="1" applyFill="1" applyBorder="1"/>
    <xf numFmtId="0" fontId="15" fillId="16" borderId="2" xfId="0" applyFont="1" applyFill="1" applyBorder="1"/>
    <xf numFmtId="0" fontId="16" fillId="5" borderId="2" xfId="0" applyFont="1" applyFill="1" applyBorder="1" applyAlignment="1">
      <alignment horizontal="right"/>
    </xf>
    <xf numFmtId="0" fontId="15" fillId="16" borderId="2" xfId="0" applyFont="1" applyFill="1" applyBorder="1" applyAlignment="1">
      <alignment horizontal="center" vertical="center"/>
    </xf>
    <xf numFmtId="2" fontId="13" fillId="16" borderId="2" xfId="0" applyNumberFormat="1" applyFont="1" applyFill="1" applyBorder="1"/>
    <xf numFmtId="0" fontId="8" fillId="14" borderId="2" xfId="0" applyFont="1" applyFill="1" applyBorder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Output" xfId="4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0</xdr:row>
      <xdr:rowOff>28575</xdr:rowOff>
    </xdr:from>
    <xdr:to>
      <xdr:col>2</xdr:col>
      <xdr:colOff>19051</xdr:colOff>
      <xdr:row>0</xdr:row>
      <xdr:rowOff>346075</xdr:rowOff>
    </xdr:to>
    <xdr:sp macro="" textlink="">
      <xdr:nvSpPr>
        <xdr:cNvPr id="2" name="WebsiteBox">
          <a:extLst>
            <a:ext uri="{FF2B5EF4-FFF2-40B4-BE49-F238E27FC236}">
              <a16:creationId xmlns:a16="http://schemas.microsoft.com/office/drawing/2014/main" id="{1504E604-6D2D-4B0B-77B6-BD4264F42F05}"/>
            </a:ext>
          </a:extLst>
        </xdr:cNvPr>
        <xdr:cNvSpPr txBox="1"/>
      </xdr:nvSpPr>
      <xdr:spPr>
        <a:xfrm>
          <a:off x="600075" y="28575"/>
          <a:ext cx="1781176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1"/>
        <a:lstStyle/>
        <a:p>
          <a:r>
            <a:rPr lang="en-US" sz="1200" b="1">
              <a:solidFill>
                <a:srgbClr val="0066CC"/>
              </a:solidFill>
            </a:rPr>
            <a:t>engineeringclarity.com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270789</xdr:colOff>
      <xdr:row>9</xdr:row>
      <xdr:rowOff>19037</xdr:rowOff>
    </xdr:from>
    <xdr:to>
      <xdr:col>12</xdr:col>
      <xdr:colOff>234238</xdr:colOff>
      <xdr:row>11</xdr:row>
      <xdr:rowOff>224118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2B53D5-2FC9-AA14-37FA-2D82164F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72642" y="2708449"/>
          <a:ext cx="2608037" cy="1146375"/>
        </a:xfrm>
        <a:prstGeom prst="rect">
          <a:avLst/>
        </a:prstGeom>
      </xdr:spPr>
    </xdr:pic>
    <xdr:clientData/>
  </xdr:twoCellAnchor>
  <xdr:twoCellAnchor editAs="oneCell">
    <xdr:from>
      <xdr:col>8</xdr:col>
      <xdr:colOff>148076</xdr:colOff>
      <xdr:row>5</xdr:row>
      <xdr:rowOff>229722</xdr:rowOff>
    </xdr:from>
    <xdr:to>
      <xdr:col>12</xdr:col>
      <xdr:colOff>413698</xdr:colOff>
      <xdr:row>9</xdr:row>
      <xdr:rowOff>164066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5FAD7-1307-EBF8-6148-F3B51DA94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9929" y="1787340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3</xdr:col>
      <xdr:colOff>445833</xdr:colOff>
      <xdr:row>15</xdr:row>
      <xdr:rowOff>108859</xdr:rowOff>
    </xdr:from>
    <xdr:to>
      <xdr:col>7</xdr:col>
      <xdr:colOff>1055601</xdr:colOff>
      <xdr:row>19</xdr:row>
      <xdr:rowOff>102558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F0056A4-E3FD-591A-AC86-D32EF4C2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9940" y="4762502"/>
          <a:ext cx="3793840" cy="1082270"/>
        </a:xfrm>
        <a:prstGeom prst="rect">
          <a:avLst/>
        </a:prstGeom>
      </xdr:spPr>
    </xdr:pic>
    <xdr:clientData/>
  </xdr:twoCellAnchor>
  <xdr:twoCellAnchor editAs="oneCell">
    <xdr:from>
      <xdr:col>4</xdr:col>
      <xdr:colOff>67310</xdr:colOff>
      <xdr:row>12</xdr:row>
      <xdr:rowOff>159846</xdr:rowOff>
    </xdr:from>
    <xdr:to>
      <xdr:col>6</xdr:col>
      <xdr:colOff>832179</xdr:colOff>
      <xdr:row>16</xdr:row>
      <xdr:rowOff>28017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26FEBDE-293B-C0CB-4415-785905A32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15192" y="3969846"/>
          <a:ext cx="2210427" cy="988759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0</xdr:row>
      <xdr:rowOff>28575</xdr:rowOff>
    </xdr:from>
    <xdr:to>
      <xdr:col>2</xdr:col>
      <xdr:colOff>19051</xdr:colOff>
      <xdr:row>0</xdr:row>
      <xdr:rowOff>346075</xdr:rowOff>
    </xdr:to>
    <xdr:sp macro="" textlink="">
      <xdr:nvSpPr>
        <xdr:cNvPr id="5" name="WebsiteBox">
          <a:extLst>
            <a:ext uri="{FF2B5EF4-FFF2-40B4-BE49-F238E27FC236}">
              <a16:creationId xmlns:a16="http://schemas.microsoft.com/office/drawing/2014/main" id="{A1AAACCC-1E2E-4D22-B949-61D2E3AF1D50}"/>
            </a:ext>
          </a:extLst>
        </xdr:cNvPr>
        <xdr:cNvSpPr txBox="1"/>
      </xdr:nvSpPr>
      <xdr:spPr>
        <a:xfrm>
          <a:off x="600075" y="28575"/>
          <a:ext cx="1781176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1"/>
        <a:lstStyle/>
        <a:p>
          <a:r>
            <a:rPr lang="en-US" sz="1200" b="1">
              <a:solidFill>
                <a:srgbClr val="0066CC"/>
              </a:solidFill>
            </a:rPr>
            <a:t>engineeringclarity.com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7202</xdr:colOff>
      <xdr:row>12</xdr:row>
      <xdr:rowOff>13608</xdr:rowOff>
    </xdr:from>
    <xdr:to>
      <xdr:col>6</xdr:col>
      <xdr:colOff>70378</xdr:colOff>
      <xdr:row>16</xdr:row>
      <xdr:rowOff>93090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11D622E-3E6E-4992-972E-D43B1FCAF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3381" y="3116037"/>
          <a:ext cx="1927354" cy="841482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0</xdr:row>
      <xdr:rowOff>28575</xdr:rowOff>
    </xdr:from>
    <xdr:to>
      <xdr:col>2</xdr:col>
      <xdr:colOff>19051</xdr:colOff>
      <xdr:row>0</xdr:row>
      <xdr:rowOff>346075</xdr:rowOff>
    </xdr:to>
    <xdr:sp macro="" textlink="">
      <xdr:nvSpPr>
        <xdr:cNvPr id="2" name="WebsiteBox">
          <a:extLst>
            <a:ext uri="{FF2B5EF4-FFF2-40B4-BE49-F238E27FC236}">
              <a16:creationId xmlns:a16="http://schemas.microsoft.com/office/drawing/2014/main" id="{AC98AC42-84D5-4CBC-BC81-AC0A07DF6EBB}"/>
            </a:ext>
          </a:extLst>
        </xdr:cNvPr>
        <xdr:cNvSpPr txBox="1"/>
      </xdr:nvSpPr>
      <xdr:spPr>
        <a:xfrm>
          <a:off x="600075" y="28575"/>
          <a:ext cx="2276476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1"/>
        <a:lstStyle/>
        <a:p>
          <a:r>
            <a:rPr lang="en-US" sz="1200" b="1">
              <a:solidFill>
                <a:srgbClr val="0066CC"/>
              </a:solidFill>
            </a:rPr>
            <a:t>engineeringclarity.com</a:t>
          </a:r>
        </a:p>
      </xdr:txBody>
    </xdr:sp>
    <xdr:clientData/>
  </xdr:twoCellAnchor>
  <xdr:twoCellAnchor editAs="oneCell">
    <xdr:from>
      <xdr:col>8</xdr:col>
      <xdr:colOff>146724</xdr:colOff>
      <xdr:row>8</xdr:row>
      <xdr:rowOff>91073</xdr:rowOff>
    </xdr:from>
    <xdr:to>
      <xdr:col>11</xdr:col>
      <xdr:colOff>536797</xdr:colOff>
      <xdr:row>13</xdr:row>
      <xdr:rowOff>94448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90F642-88B1-4629-BEBE-016DC43D0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95724" y="2023287"/>
          <a:ext cx="2608037" cy="1146375"/>
        </a:xfrm>
        <a:prstGeom prst="rect">
          <a:avLst/>
        </a:prstGeom>
      </xdr:spPr>
    </xdr:pic>
    <xdr:clientData/>
  </xdr:twoCellAnchor>
  <xdr:twoCellAnchor editAs="oneCell">
    <xdr:from>
      <xdr:col>8</xdr:col>
      <xdr:colOff>51226</xdr:colOff>
      <xdr:row>3</xdr:row>
      <xdr:rowOff>176893</xdr:rowOff>
    </xdr:from>
    <xdr:to>
      <xdr:col>12</xdr:col>
      <xdr:colOff>131150</xdr:colOff>
      <xdr:row>9</xdr:row>
      <xdr:rowOff>100031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59102A9-C02C-489F-A107-A87BBE091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00226" y="1156607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4</xdr:col>
      <xdr:colOff>68037</xdr:colOff>
      <xdr:row>16</xdr:row>
      <xdr:rowOff>54273</xdr:rowOff>
    </xdr:from>
    <xdr:to>
      <xdr:col>6</xdr:col>
      <xdr:colOff>1115787</xdr:colOff>
      <xdr:row>20</xdr:row>
      <xdr:rowOff>135372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19909CA-5B3B-4446-B226-B31BDA153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70966" y="3700987"/>
          <a:ext cx="2911928" cy="8567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59FB6B-92C7-9F44-255E-BE4D8BFDC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00781A-ED47-2ADA-D1F8-A9C33012D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DFF7A2-CE9D-DD67-3D76-CDBF6CD05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DCBAFB-9E6E-E2BB-6D0A-A70BA88D8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tth\AppData\Roaming\Microsoft\AddIns\CoolProp.xlam" TargetMode="External"/><Relationship Id="rId1" Type="http://schemas.openxmlformats.org/officeDocument/2006/relationships/externalLinkPath" Target="/Users/matth/AppData/Roaming/Microsoft/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Milk Glass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B71-2EE9-4A88-82E5-7B050CC063A6}">
  <sheetPr codeName="Sheet4">
    <tabColor rgb="FF00B050"/>
  </sheetPr>
  <dimension ref="B1:K250"/>
  <sheetViews>
    <sheetView showGridLines="0" zoomScale="70" zoomScaleNormal="70" workbookViewId="0">
      <selection activeCell="E15" sqref="E15"/>
    </sheetView>
  </sheetViews>
  <sheetFormatPr defaultRowHeight="15" x14ac:dyDescent="0.25"/>
  <cols>
    <col min="1" max="1" width="2.7109375" style="42" customWidth="1"/>
    <col min="2" max="2" width="32.7109375" style="42" customWidth="1"/>
    <col min="3" max="3" width="15.7109375" style="42" customWidth="1"/>
    <col min="4" max="4" width="10.7109375" style="42" customWidth="1"/>
    <col min="5" max="5" width="12.7109375" style="42" customWidth="1"/>
    <col min="6" max="6" width="14.42578125" style="42" customWidth="1"/>
    <col min="7" max="7" width="14.7109375" style="42" customWidth="1"/>
    <col min="8" max="8" width="7.5703125" style="42" bestFit="1" customWidth="1"/>
    <col min="9" max="9" width="15.7109375" style="42" customWidth="1"/>
    <col min="10" max="10" width="12.7109375" style="42" customWidth="1"/>
    <col min="11" max="12" width="9.140625" style="42"/>
    <col min="13" max="13" width="15.85546875" style="42" bestFit="1" customWidth="1"/>
    <col min="14" max="16384" width="9.140625" style="42"/>
  </cols>
  <sheetData>
    <row r="1" spans="2:11" ht="30" customHeight="1" x14ac:dyDescent="0.25">
      <c r="B1" s="42" t="e" vm="1">
        <v>#VALUE!</v>
      </c>
      <c r="C1" s="90" t="s">
        <v>38</v>
      </c>
      <c r="G1" s="91" t="s">
        <v>39</v>
      </c>
    </row>
    <row r="2" spans="2:11" ht="29.25" customHeight="1" x14ac:dyDescent="0.25">
      <c r="B2" s="130" t="s">
        <v>35</v>
      </c>
      <c r="C2" s="136">
        <v>120</v>
      </c>
      <c r="D2" s="124" t="s">
        <v>37</v>
      </c>
      <c r="F2" s="127" t="s">
        <v>13</v>
      </c>
      <c r="G2" s="132">
        <f>+C4/60</f>
        <v>0.66821285963712618</v>
      </c>
      <c r="H2" s="124" t="s">
        <v>86</v>
      </c>
      <c r="K2" s="125"/>
    </row>
    <row r="3" spans="2:11" ht="20.100000000000001" customHeight="1" x14ac:dyDescent="0.25">
      <c r="B3" s="130" t="s">
        <v>36</v>
      </c>
      <c r="C3" s="136">
        <v>21</v>
      </c>
      <c r="D3" s="124" t="s">
        <v>37</v>
      </c>
      <c r="F3" s="128"/>
      <c r="G3" s="132">
        <f>+G2*27.2155</f>
        <v>18.185747081454206</v>
      </c>
      <c r="H3" s="124" t="s">
        <v>3</v>
      </c>
      <c r="K3" s="125"/>
    </row>
    <row r="4" spans="2:11" ht="20.100000000000001" customHeight="1" x14ac:dyDescent="0.25">
      <c r="B4" s="130" t="s">
        <v>13</v>
      </c>
      <c r="C4" s="136">
        <v>40.09277157822757</v>
      </c>
      <c r="D4" s="124" t="s">
        <v>57</v>
      </c>
      <c r="F4" s="129"/>
      <c r="G4" s="132">
        <f>+G3/60</f>
        <v>0.30309578469090342</v>
      </c>
      <c r="H4" s="124" t="s">
        <v>17</v>
      </c>
      <c r="K4" s="125"/>
    </row>
    <row r="5" spans="2:11" ht="20.100000000000001" customHeight="1" x14ac:dyDescent="0.25">
      <c r="B5" s="130" t="s">
        <v>42</v>
      </c>
      <c r="C5" s="137">
        <v>70</v>
      </c>
      <c r="D5" s="124" t="s">
        <v>4</v>
      </c>
      <c r="F5" s="130" t="s">
        <v>33</v>
      </c>
      <c r="G5" s="132">
        <f>+G6*C47/C53</f>
        <v>6</v>
      </c>
      <c r="H5" s="124" t="s">
        <v>87</v>
      </c>
      <c r="K5" s="125"/>
    </row>
    <row r="6" spans="2:11" ht="20.100000000000001" customHeight="1" x14ac:dyDescent="0.25">
      <c r="B6" s="144" t="s">
        <v>1</v>
      </c>
      <c r="C6" s="137" t="s">
        <v>48</v>
      </c>
      <c r="D6" s="124"/>
      <c r="E6" s="45"/>
      <c r="F6" s="130" t="s">
        <v>90</v>
      </c>
      <c r="G6" s="132">
        <f>(C4/(C47*0.062428))/60</f>
        <v>1.3484601826446461</v>
      </c>
      <c r="H6" s="124" t="s">
        <v>87</v>
      </c>
      <c r="K6" s="125"/>
    </row>
    <row r="7" spans="2:11" ht="20.100000000000001" customHeight="1" x14ac:dyDescent="0.25">
      <c r="B7" s="130" t="s">
        <v>59</v>
      </c>
      <c r="C7" s="137">
        <v>0.25</v>
      </c>
      <c r="D7" s="124" t="s">
        <v>5</v>
      </c>
      <c r="E7" s="45"/>
      <c r="F7" s="131" t="s">
        <v>69</v>
      </c>
      <c r="G7" s="133">
        <f>+C46/C49</f>
        <v>6.2822992126399302E-2</v>
      </c>
      <c r="H7" s="126" t="s">
        <v>2</v>
      </c>
      <c r="K7"/>
    </row>
    <row r="8" spans="2:11" ht="20.100000000000001" customHeight="1" x14ac:dyDescent="0.25">
      <c r="B8" s="131" t="s">
        <v>102</v>
      </c>
      <c r="C8" s="137">
        <v>1</v>
      </c>
      <c r="D8" s="124"/>
      <c r="E8" s="45"/>
      <c r="F8" s="11"/>
      <c r="G8" s="11"/>
      <c r="H8" s="11"/>
      <c r="I8" s="11"/>
      <c r="J8" s="11"/>
    </row>
    <row r="9" spans="2:11" ht="20.100000000000001" customHeight="1" x14ac:dyDescent="0.25">
      <c r="B9" s="130" t="s">
        <v>18</v>
      </c>
      <c r="C9" s="138">
        <v>5.0000000000000001E-4</v>
      </c>
      <c r="D9" s="124" t="s">
        <v>5</v>
      </c>
    </row>
    <row r="10" spans="2:11" ht="20.100000000000001" customHeight="1" x14ac:dyDescent="0.25">
      <c r="B10" s="130" t="s">
        <v>12</v>
      </c>
      <c r="C10" s="137">
        <v>10</v>
      </c>
      <c r="D10" s="124" t="s">
        <v>6</v>
      </c>
    </row>
    <row r="11" spans="2:11" ht="20.100000000000001" customHeight="1" x14ac:dyDescent="0.25">
      <c r="B11" s="130" t="s">
        <v>70</v>
      </c>
      <c r="C11" s="137">
        <v>0</v>
      </c>
      <c r="D11" s="124" t="s">
        <v>6</v>
      </c>
    </row>
    <row r="12" spans="2:11" ht="20.100000000000001" customHeight="1" x14ac:dyDescent="0.25">
      <c r="B12" s="47"/>
      <c r="D12" s="11"/>
    </row>
    <row r="13" spans="2:11" ht="20.100000000000001" customHeight="1" x14ac:dyDescent="0.25">
      <c r="B13" s="185" t="s">
        <v>71</v>
      </c>
      <c r="C13" s="185"/>
      <c r="D13"/>
      <c r="E13"/>
      <c r="F13"/>
      <c r="G13"/>
      <c r="H13"/>
      <c r="I13"/>
      <c r="J13"/>
      <c r="K13"/>
    </row>
    <row r="14" spans="2:11" ht="20.100000000000001" customHeight="1" x14ac:dyDescent="0.25">
      <c r="B14" s="171" t="s">
        <v>72</v>
      </c>
      <c r="C14" s="172">
        <f>(C54-C55)+C11*0.3048*C47*C51</f>
        <v>682605</v>
      </c>
      <c r="D14" s="11"/>
    </row>
    <row r="15" spans="2:11" ht="20.100000000000001" customHeight="1" x14ac:dyDescent="0.25">
      <c r="B15" s="171" t="s">
        <v>84</v>
      </c>
      <c r="C15" s="173">
        <f>+C47*C51*F31</f>
        <v>20789.389414090459</v>
      </c>
      <c r="D15" s="11"/>
    </row>
    <row r="16" spans="2:11" ht="20.100000000000001" customHeight="1" x14ac:dyDescent="0.25">
      <c r="B16" s="171" t="s">
        <v>85</v>
      </c>
      <c r="C16" s="174">
        <f>+C14-C15</f>
        <v>661815.61058590957</v>
      </c>
      <c r="D16" s="11"/>
    </row>
    <row r="17" spans="2:7" ht="20.100000000000001" customHeight="1" x14ac:dyDescent="0.25">
      <c r="B17" s="47"/>
      <c r="D17" s="11"/>
    </row>
    <row r="18" spans="2:7" ht="20.100000000000001" customHeight="1" x14ac:dyDescent="0.25">
      <c r="B18" s="185" t="s">
        <v>34</v>
      </c>
      <c r="C18" s="185"/>
      <c r="D18" s="185"/>
      <c r="E18" s="185"/>
      <c r="F18" s="185"/>
      <c r="G18" s="185"/>
    </row>
    <row r="19" spans="2:7" ht="20.100000000000001" customHeight="1" x14ac:dyDescent="0.25">
      <c r="B19" s="95" t="s">
        <v>19</v>
      </c>
      <c r="C19" s="95" t="s">
        <v>20</v>
      </c>
      <c r="D19" s="95" t="s">
        <v>16</v>
      </c>
      <c r="E19" s="95" t="s">
        <v>81</v>
      </c>
      <c r="F19" s="95" t="s">
        <v>73</v>
      </c>
      <c r="G19" s="95"/>
    </row>
    <row r="20" spans="2:7" ht="20.100000000000001" customHeight="1" x14ac:dyDescent="0.25">
      <c r="B20" s="177" t="s">
        <v>21</v>
      </c>
      <c r="C20" s="178">
        <f>+C10</f>
        <v>10</v>
      </c>
      <c r="D20" s="179"/>
      <c r="E20" s="179"/>
      <c r="F20" s="180">
        <f>C52*((C20*12)/C7)*C46^2/(2*C51)</f>
        <v>266.97798221866879</v>
      </c>
      <c r="G20" s="181" t="s">
        <v>77</v>
      </c>
    </row>
    <row r="21" spans="2:7" ht="20.100000000000001" customHeight="1" x14ac:dyDescent="0.25">
      <c r="B21" s="182" t="s">
        <v>22</v>
      </c>
      <c r="C21" s="139">
        <v>0</v>
      </c>
      <c r="D21" s="77"/>
      <c r="E21" s="77">
        <v>16</v>
      </c>
      <c r="F21" s="97">
        <f>+C21*E21*C$50*C$46^2/(2*C$51)</f>
        <v>0</v>
      </c>
      <c r="G21" s="98" t="s">
        <v>80</v>
      </c>
    </row>
    <row r="22" spans="2:7" ht="20.100000000000001" customHeight="1" x14ac:dyDescent="0.25">
      <c r="B22" s="177" t="s">
        <v>23</v>
      </c>
      <c r="C22" s="139">
        <v>0</v>
      </c>
      <c r="D22" s="179"/>
      <c r="E22" s="179">
        <v>30</v>
      </c>
      <c r="F22" s="180">
        <f>+C22*E22*C$50*C$46^2/(2*C$51)</f>
        <v>0</v>
      </c>
      <c r="G22" s="183"/>
    </row>
    <row r="23" spans="2:7" ht="20.100000000000001" customHeight="1" x14ac:dyDescent="0.25">
      <c r="B23" s="182" t="s">
        <v>24</v>
      </c>
      <c r="C23" s="139">
        <v>0</v>
      </c>
      <c r="D23" s="77"/>
      <c r="E23" s="77">
        <v>15</v>
      </c>
      <c r="F23" s="97">
        <f>+C23*E23*C$50*C$46^2/(2*C$51)</f>
        <v>0</v>
      </c>
      <c r="G23" s="98"/>
    </row>
    <row r="24" spans="2:7" ht="20.100000000000001" customHeight="1" x14ac:dyDescent="0.25">
      <c r="B24" s="177" t="s">
        <v>25</v>
      </c>
      <c r="C24" s="139">
        <v>0</v>
      </c>
      <c r="D24" s="179"/>
      <c r="E24" s="179">
        <v>3</v>
      </c>
      <c r="F24" s="180">
        <f>+C24*E24*C$50*C$46^2/(2*C$51)</f>
        <v>0</v>
      </c>
      <c r="G24" s="183"/>
    </row>
    <row r="25" spans="2:7" ht="20.100000000000001" customHeight="1" x14ac:dyDescent="0.25">
      <c r="B25" s="182" t="s">
        <v>26</v>
      </c>
      <c r="C25" s="139">
        <v>0</v>
      </c>
      <c r="D25" s="77"/>
      <c r="E25" s="77">
        <v>50</v>
      </c>
      <c r="F25" s="97">
        <f>+C25*E25*C$50*C$46^2/(2*C$51)</f>
        <v>0</v>
      </c>
      <c r="G25" s="98"/>
    </row>
    <row r="26" spans="2:7" ht="20.100000000000001" customHeight="1" x14ac:dyDescent="0.25">
      <c r="B26" s="177" t="s">
        <v>27</v>
      </c>
      <c r="C26" s="139">
        <v>0</v>
      </c>
      <c r="D26" s="179"/>
      <c r="E26" s="179">
        <v>340</v>
      </c>
      <c r="F26" s="180">
        <f>+C26*E26*C$50*C$46^2/(2*C$51)</f>
        <v>0</v>
      </c>
      <c r="G26" s="183"/>
    </row>
    <row r="27" spans="2:7" ht="20.100000000000001" customHeight="1" x14ac:dyDescent="0.25">
      <c r="B27" s="182" t="s">
        <v>28</v>
      </c>
      <c r="C27" s="139">
        <v>0</v>
      </c>
      <c r="D27" s="77"/>
      <c r="E27" s="77">
        <v>45</v>
      </c>
      <c r="F27" s="97">
        <f>+C27*E27*C$50*C$46^2/(2*C$51)</f>
        <v>0</v>
      </c>
      <c r="G27" s="98"/>
    </row>
    <row r="28" spans="2:7" ht="20.100000000000001" customHeight="1" x14ac:dyDescent="0.25">
      <c r="B28" s="177" t="s">
        <v>29</v>
      </c>
      <c r="C28" s="139">
        <v>0</v>
      </c>
      <c r="D28" s="179"/>
      <c r="E28" s="179">
        <v>20</v>
      </c>
      <c r="F28" s="180">
        <f>+C28*E28*C$50*C$46^2/(2*C$51)</f>
        <v>0</v>
      </c>
      <c r="G28" s="183"/>
    </row>
    <row r="29" spans="2:7" ht="20.100000000000001" customHeight="1" x14ac:dyDescent="0.25">
      <c r="B29" s="182" t="s">
        <v>30</v>
      </c>
      <c r="C29" s="139">
        <v>0</v>
      </c>
      <c r="D29" s="96">
        <v>0.5</v>
      </c>
      <c r="E29" s="77"/>
      <c r="F29" s="97">
        <f>+C29*D29*C$46^2/(2*C$51)</f>
        <v>0</v>
      </c>
      <c r="G29" s="98"/>
    </row>
    <row r="30" spans="2:7" ht="20.100000000000001" customHeight="1" x14ac:dyDescent="0.25">
      <c r="B30" s="177" t="s">
        <v>31</v>
      </c>
      <c r="C30" s="139">
        <v>0</v>
      </c>
      <c r="D30" s="184">
        <v>1</v>
      </c>
      <c r="E30" s="179"/>
      <c r="F30" s="180">
        <f>+C30*D30*C$46^2/(2*C$51)</f>
        <v>0</v>
      </c>
      <c r="G30" s="183"/>
    </row>
    <row r="31" spans="2:7" ht="20.100000000000001" customHeight="1" x14ac:dyDescent="0.25">
      <c r="B31" s="94"/>
      <c r="C31" s="94"/>
      <c r="D31" s="94"/>
      <c r="E31" s="94" t="s">
        <v>83</v>
      </c>
      <c r="F31" s="97">
        <f>+SUM(F20:F30)</f>
        <v>266.97798221866879</v>
      </c>
      <c r="G31" s="94"/>
    </row>
    <row r="32" spans="2:7" ht="20.100000000000001" hidden="1" customHeight="1" x14ac:dyDescent="0.25">
      <c r="B32" s="175"/>
      <c r="C32" s="176"/>
      <c r="D32" s="176"/>
      <c r="E32" s="176"/>
      <c r="F32" s="176"/>
      <c r="G32" s="176"/>
    </row>
    <row r="33" spans="2:11" ht="20.100000000000001" hidden="1" customHeight="1" x14ac:dyDescent="0.25">
      <c r="B33" s="100"/>
      <c r="C33" s="99"/>
      <c r="D33" s="99"/>
      <c r="E33" s="99"/>
      <c r="F33" s="99"/>
      <c r="G33" s="99"/>
    </row>
    <row r="34" spans="2:11" ht="20.100000000000001" hidden="1" customHeight="1" x14ac:dyDescent="0.25">
      <c r="B34" s="121" t="s">
        <v>74</v>
      </c>
      <c r="C34" s="122"/>
      <c r="D34" s="122"/>
      <c r="E34" s="122"/>
      <c r="F34" s="122"/>
      <c r="G34" s="123"/>
      <c r="H34" s="120"/>
      <c r="I34" s="120"/>
      <c r="J34" s="120"/>
      <c r="K34"/>
    </row>
    <row r="35" spans="2:11" ht="20.100000000000001" hidden="1" customHeight="1" x14ac:dyDescent="0.25">
      <c r="B35" s="101" t="s">
        <v>7</v>
      </c>
      <c r="C35" s="102">
        <f>_xlfn.XLOOKUP(C6,'gas properties'!B3:B8,'gas properties'!C3:C8)</f>
        <v>39.950000000000003</v>
      </c>
      <c r="D35" s="103" t="s">
        <v>8</v>
      </c>
      <c r="E35" s="104"/>
      <c r="F35" s="104"/>
      <c r="G35" s="104"/>
      <c r="H35"/>
      <c r="I35"/>
      <c r="J35"/>
      <c r="K35"/>
    </row>
    <row r="36" spans="2:11" ht="20.100000000000001" hidden="1" customHeight="1" x14ac:dyDescent="0.25">
      <c r="B36" s="111"/>
      <c r="C36" s="111" t="s">
        <v>54</v>
      </c>
      <c r="D36" s="112"/>
      <c r="E36" s="113" t="s">
        <v>55</v>
      </c>
      <c r="F36" s="114"/>
      <c r="G36" s="113" t="s">
        <v>52</v>
      </c>
      <c r="H36"/>
      <c r="I36"/>
      <c r="J36"/>
      <c r="K36"/>
    </row>
    <row r="37" spans="2:11" ht="20.100000000000001" hidden="1" customHeight="1" x14ac:dyDescent="0.25">
      <c r="B37" s="101" t="s">
        <v>96</v>
      </c>
      <c r="C37" s="105">
        <f>IF(C6="WATER",999.8,(1/1000)*C54*C35/(C41*C57))</f>
        <v>13.511059593348232</v>
      </c>
      <c r="D37" s="106" t="s">
        <v>51</v>
      </c>
      <c r="E37" s="105">
        <f>IF(C6="water","NA",[1]!PropsSI("Dmass","T",C57,"P",C54,"HEOS::"&amp;C6))</f>
        <v>13.583421041121454</v>
      </c>
      <c r="F37" s="106" t="s">
        <v>51</v>
      </c>
      <c r="G37" s="107">
        <f>IF(C6="water","NA",+(C37-E37)/E37)</f>
        <v>-5.3271887512107742E-3</v>
      </c>
      <c r="H37"/>
      <c r="I37"/>
      <c r="J37"/>
      <c r="K37"/>
    </row>
    <row r="38" spans="2:11" ht="20.100000000000001" hidden="1" customHeight="1" x14ac:dyDescent="0.25">
      <c r="B38" s="111" t="s">
        <v>97</v>
      </c>
      <c r="C38" s="115">
        <f>IF(C6="WATER",999.8,(1/1000)*C55*C35/(C41*C57))</f>
        <v>2.3644354288359408</v>
      </c>
      <c r="D38" s="116" t="s">
        <v>51</v>
      </c>
      <c r="E38" s="115">
        <f>IF(C6="water","NA",[1]!PropsSI("Dmass","T",C57,"P",C55,"HEOS::"&amp;C6))</f>
        <v>2.3664563174931028</v>
      </c>
      <c r="F38" s="116" t="s">
        <v>51</v>
      </c>
      <c r="G38" s="117">
        <f>IF(C7="water","NA",+(C38-E38)/E38)</f>
        <v>-8.5397251672188537E-4</v>
      </c>
      <c r="H38"/>
      <c r="I38"/>
      <c r="J38"/>
      <c r="K38"/>
    </row>
    <row r="39" spans="2:11" ht="20.100000000000001" hidden="1" customHeight="1" x14ac:dyDescent="0.25">
      <c r="B39" s="101" t="s">
        <v>98</v>
      </c>
      <c r="C39" s="105">
        <f>(C38+C37)/2</f>
        <v>7.9377475110920868</v>
      </c>
      <c r="D39" s="106" t="s">
        <v>51</v>
      </c>
      <c r="E39" s="105">
        <f>(E38+E37)/2</f>
        <v>7.9749386793072787</v>
      </c>
      <c r="F39" s="106" t="s">
        <v>51</v>
      </c>
      <c r="G39" s="107">
        <f>IF(C8="water","NA",+(C39-E39)/E39)</f>
        <v>-4.663505226904451E-3</v>
      </c>
      <c r="H39"/>
      <c r="I39"/>
      <c r="J39"/>
      <c r="K39"/>
    </row>
    <row r="40" spans="2:11" ht="20.100000000000001" hidden="1" customHeight="1" x14ac:dyDescent="0.25">
      <c r="B40" s="111" t="s">
        <v>9</v>
      </c>
      <c r="C40" s="118">
        <f>IF(C6="WATER",0.00002414 * 10^(247.8/(C57-140)),IF(C6="air",0.00001716*(C57/273.15)^1.5*383.55/(C57+110.4),IF(C6="nitrogen",0.00001663*(C57/273.15)^1.5*383.55/(C57+106.7),IF(C6="argon",0.00002125*(C57/273.15)^1.5*383.55/(C57+114),IF(C6="helium",0.00001865*(C57/273.15)^0.647,IF(C6="hydrogen",0.000008411*(C57/273.15)^0.678))))))</f>
        <v>2.2322375362765166E-5</v>
      </c>
      <c r="D40" s="116" t="s">
        <v>56</v>
      </c>
      <c r="E40" s="118">
        <f>[1]!PropsSI("V","T",C57,"P",C54,"HEOS::"&amp;C6)</f>
        <v>2.2507974868553148E-5</v>
      </c>
      <c r="F40" s="116" t="s">
        <v>56</v>
      </c>
      <c r="G40" s="117">
        <f>+(C40-E40)/E40</f>
        <v>-8.2459442429576729E-3</v>
      </c>
      <c r="H40"/>
      <c r="I40"/>
      <c r="J40"/>
      <c r="K40"/>
    </row>
    <row r="41" spans="2:11" ht="20.100000000000001" hidden="1" customHeight="1" x14ac:dyDescent="0.25">
      <c r="B41" s="101" t="s">
        <v>44</v>
      </c>
      <c r="C41" s="108">
        <v>8.3140000000000001</v>
      </c>
      <c r="D41" s="106" t="s">
        <v>45</v>
      </c>
      <c r="E41" s="106"/>
      <c r="F41" s="104"/>
      <c r="G41" s="104"/>
      <c r="H41"/>
      <c r="I41"/>
      <c r="J41"/>
      <c r="K41"/>
    </row>
    <row r="42" spans="2:11" ht="20.100000000000001" hidden="1" customHeight="1" x14ac:dyDescent="0.25">
      <c r="B42" s="111" t="s">
        <v>11</v>
      </c>
      <c r="C42" s="118">
        <f>C47*C46*C7*0.0254/C48</f>
        <v>45364.957169694841</v>
      </c>
      <c r="D42" s="116" t="s">
        <v>2</v>
      </c>
      <c r="E42" s="116"/>
      <c r="F42" s="114"/>
      <c r="G42" s="114"/>
      <c r="H42"/>
      <c r="I42"/>
      <c r="J42"/>
      <c r="K42"/>
    </row>
    <row r="43" spans="2:11" ht="20.100000000000001" hidden="1" customHeight="1" x14ac:dyDescent="0.25">
      <c r="B43" s="101" t="s">
        <v>64</v>
      </c>
      <c r="C43" s="105">
        <f>64/C42</f>
        <v>1.4107805670486543E-3</v>
      </c>
      <c r="D43" s="106" t="s">
        <v>2</v>
      </c>
      <c r="E43" s="106"/>
      <c r="F43" s="104"/>
      <c r="G43" s="104"/>
      <c r="H43" s="11"/>
      <c r="I43" s="11"/>
      <c r="J43" s="11"/>
      <c r="K43" s="11"/>
    </row>
    <row r="44" spans="2:11" ht="20.100000000000001" hidden="1" customHeight="1" x14ac:dyDescent="0.25">
      <c r="B44" s="111" t="s">
        <v>65</v>
      </c>
      <c r="C44" s="115">
        <f>0.25/(LOG10(C9/(3.7*C7)+5.74/C42^0.9)^2)</f>
        <v>2.7036682419874988E-2</v>
      </c>
      <c r="D44" s="116" t="s">
        <v>2</v>
      </c>
      <c r="E44" s="116"/>
      <c r="F44" s="114"/>
      <c r="G44" s="114"/>
      <c r="H44" s="11"/>
      <c r="I44" s="11"/>
      <c r="J44" s="11"/>
      <c r="K44" s="11"/>
    </row>
    <row r="45" spans="2:11" ht="20.100000000000001" hidden="1" customHeight="1" x14ac:dyDescent="0.25">
      <c r="B45" s="106" t="s">
        <v>67</v>
      </c>
      <c r="C45" s="105">
        <f>IF(C6="water","NA",_xlfn.XLOOKUP(C6,'gas properties'!B4:B8,'gas properties'!D4:D8))</f>
        <v>1.67</v>
      </c>
      <c r="D45" s="106" t="s">
        <v>2</v>
      </c>
      <c r="E45" s="106"/>
      <c r="F45" s="104"/>
      <c r="G45" s="104"/>
      <c r="H45" s="11"/>
      <c r="I45" s="11"/>
      <c r="J45" s="11"/>
      <c r="K45" s="11"/>
    </row>
    <row r="46" spans="2:11" ht="20.100000000000001" hidden="1" customHeight="1" x14ac:dyDescent="0.25">
      <c r="B46" s="116" t="s">
        <v>60</v>
      </c>
      <c r="C46" s="119">
        <f>0.2486*C4/(C47*C7^2)</f>
        <v>20.09046118016639</v>
      </c>
      <c r="D46" s="116" t="s">
        <v>14</v>
      </c>
      <c r="E46" s="116"/>
      <c r="F46" s="110"/>
      <c r="G46" s="110"/>
      <c r="H46" s="11"/>
      <c r="I46" s="11"/>
      <c r="J46" s="11"/>
      <c r="K46" s="11"/>
    </row>
    <row r="47" spans="2:11" ht="20.100000000000001" hidden="1" customHeight="1" x14ac:dyDescent="0.25">
      <c r="B47" s="106" t="s">
        <v>61</v>
      </c>
      <c r="C47" s="106">
        <f>IF(C8=1,C39,E39)</f>
        <v>7.9377475110920868</v>
      </c>
      <c r="D47" s="106" t="s">
        <v>51</v>
      </c>
      <c r="E47" s="106"/>
      <c r="F47" s="99"/>
      <c r="G47" s="99"/>
      <c r="H47" s="11"/>
      <c r="I47" s="11"/>
      <c r="J47" s="11"/>
      <c r="K47" s="11"/>
    </row>
    <row r="48" spans="2:11" ht="20.100000000000001" hidden="1" customHeight="1" x14ac:dyDescent="0.25">
      <c r="B48" s="116" t="s">
        <v>63</v>
      </c>
      <c r="C48" s="118">
        <f>IF(C8=1,C40,E40)</f>
        <v>2.2322375362765166E-5</v>
      </c>
      <c r="D48" s="116" t="s">
        <v>56</v>
      </c>
      <c r="E48" s="116"/>
      <c r="F48" s="110"/>
      <c r="G48" s="110"/>
      <c r="H48" s="11"/>
      <c r="I48" s="11"/>
      <c r="J48" s="11"/>
      <c r="K48" s="11"/>
    </row>
    <row r="49" spans="2:11" ht="20.100000000000001" hidden="1" customHeight="1" x14ac:dyDescent="0.25">
      <c r="B49" s="106" t="s">
        <v>68</v>
      </c>
      <c r="C49" s="106">
        <f>SQRT(C45*C41*C57/(C35/1000))</f>
        <v>319.79472005638576</v>
      </c>
      <c r="D49" s="106" t="s">
        <v>14</v>
      </c>
      <c r="E49" s="106"/>
      <c r="F49" s="99"/>
      <c r="G49" s="99"/>
      <c r="H49" s="11"/>
      <c r="I49" s="11"/>
      <c r="J49" s="11"/>
      <c r="K49" s="11"/>
    </row>
    <row r="50" spans="2:11" ht="40.5" hidden="1" x14ac:dyDescent="0.25">
      <c r="B50" s="106" t="s">
        <v>82</v>
      </c>
      <c r="C50" s="105">
        <f>0.25/(LOG10(C9/(3.7*C7))^2)</f>
        <v>2.3420495762304316E-2</v>
      </c>
      <c r="D50" s="106" t="s">
        <v>2</v>
      </c>
      <c r="E50" s="109" t="s">
        <v>79</v>
      </c>
      <c r="F50" s="99"/>
      <c r="G50" s="99"/>
      <c r="H50" s="11"/>
      <c r="I50" s="11"/>
      <c r="J50" s="11"/>
      <c r="K50" s="11"/>
    </row>
    <row r="51" spans="2:11" ht="20.100000000000001" hidden="1" customHeight="1" x14ac:dyDescent="0.25">
      <c r="B51" s="116" t="s">
        <v>75</v>
      </c>
      <c r="C51" s="115">
        <v>9.81</v>
      </c>
      <c r="D51" s="116" t="s">
        <v>76</v>
      </c>
      <c r="E51" s="116"/>
      <c r="F51" s="110"/>
      <c r="G51" s="110"/>
      <c r="H51" s="11"/>
      <c r="I51" s="11"/>
      <c r="J51" s="11"/>
      <c r="K51" s="11"/>
    </row>
    <row r="52" spans="2:11" ht="20.100000000000001" hidden="1" customHeight="1" x14ac:dyDescent="0.25">
      <c r="B52" s="109" t="s">
        <v>78</v>
      </c>
      <c r="C52" s="105">
        <f>IF(C42&lt;5000,C43,C44)</f>
        <v>2.7036682419874988E-2</v>
      </c>
      <c r="D52" s="106" t="s">
        <v>2</v>
      </c>
      <c r="E52" s="106"/>
      <c r="F52" s="99"/>
      <c r="G52" s="99"/>
      <c r="H52" s="11"/>
      <c r="I52" s="11"/>
      <c r="J52" s="11"/>
      <c r="K52" s="11"/>
    </row>
    <row r="53" spans="2:11" ht="20.100000000000001" hidden="1" customHeight="1" x14ac:dyDescent="0.25">
      <c r="B53" s="116" t="s">
        <v>91</v>
      </c>
      <c r="C53" s="115">
        <f>IF(C6="water","NA",_xlfn.XLOOKUP(C6,'gas properties'!B4:B8,'gas properties'!E4:E8))</f>
        <v>1.7839560764323867</v>
      </c>
      <c r="D53" s="116" t="s">
        <v>51</v>
      </c>
      <c r="E53" s="116"/>
      <c r="F53" s="110"/>
      <c r="G53" s="110"/>
      <c r="H53" s="11"/>
      <c r="I53" s="11"/>
      <c r="J53" s="11"/>
      <c r="K53" s="11"/>
    </row>
    <row r="54" spans="2:11" ht="20.100000000000001" hidden="1" customHeight="1" x14ac:dyDescent="0.25">
      <c r="B54" s="92" t="s">
        <v>35</v>
      </c>
      <c r="C54" s="88">
        <f>6895*C2</f>
        <v>827400</v>
      </c>
      <c r="D54" s="88" t="s">
        <v>43</v>
      </c>
      <c r="E54" s="99"/>
      <c r="F54" s="99"/>
      <c r="G54" s="99"/>
    </row>
    <row r="55" spans="2:11" ht="20.100000000000001" hidden="1" customHeight="1" x14ac:dyDescent="0.25">
      <c r="B55" s="92" t="s">
        <v>36</v>
      </c>
      <c r="C55" s="88">
        <f>6895*C3</f>
        <v>144795</v>
      </c>
      <c r="D55" s="88" t="s">
        <v>43</v>
      </c>
      <c r="E55" s="110"/>
      <c r="F55" s="110"/>
      <c r="G55" s="110"/>
    </row>
    <row r="56" spans="2:11" ht="20.100000000000001" hidden="1" customHeight="1" x14ac:dyDescent="0.25">
      <c r="B56" s="92"/>
      <c r="C56" s="88"/>
      <c r="D56" s="88"/>
      <c r="E56" s="99"/>
      <c r="F56" s="99"/>
      <c r="G56" s="99"/>
    </row>
    <row r="57" spans="2:11" ht="20.100000000000001" hidden="1" customHeight="1" x14ac:dyDescent="0.25">
      <c r="B57" s="93" t="s">
        <v>42</v>
      </c>
      <c r="C57" s="89">
        <f>+(C5-32)*5/9+273.15</f>
        <v>294.26111111111106</v>
      </c>
      <c r="D57" s="88" t="s">
        <v>16</v>
      </c>
      <c r="E57" s="110"/>
      <c r="F57" s="110"/>
      <c r="G57" s="110"/>
    </row>
    <row r="58" spans="2:11" ht="20.100000000000001" hidden="1" customHeight="1" x14ac:dyDescent="0.25">
      <c r="B58" s="99"/>
      <c r="C58" s="99"/>
      <c r="D58" s="99"/>
      <c r="E58" s="99"/>
      <c r="F58" s="99"/>
      <c r="G58" s="99"/>
    </row>
    <row r="59" spans="2:11" ht="20.100000000000001" hidden="1" customHeight="1" x14ac:dyDescent="0.25">
      <c r="B59" s="110"/>
      <c r="C59" s="110"/>
      <c r="D59" s="110"/>
      <c r="E59" s="110"/>
      <c r="F59" s="110"/>
      <c r="G59" s="110"/>
    </row>
    <row r="60" spans="2:11" ht="20.100000000000001" customHeight="1" x14ac:dyDescent="0.25"/>
    <row r="61" spans="2:11" ht="20.100000000000001" customHeight="1" x14ac:dyDescent="0.25"/>
    <row r="62" spans="2:11" ht="20.100000000000001" customHeight="1" x14ac:dyDescent="0.25"/>
    <row r="63" spans="2:11" ht="20.100000000000001" customHeight="1" x14ac:dyDescent="0.25"/>
    <row r="64" spans="2:11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</sheetData>
  <sheetProtection selectLockedCells="1"/>
  <mergeCells count="6">
    <mergeCell ref="G21:G30"/>
    <mergeCell ref="H34:J34"/>
    <mergeCell ref="B34:G34"/>
    <mergeCell ref="B18:G18"/>
    <mergeCell ref="F2:F4"/>
    <mergeCell ref="B13:C13"/>
  </mergeCells>
  <dataValidations count="1">
    <dataValidation type="list" allowBlank="1" showInputMessage="1" showErrorMessage="1" sqref="C6" xr:uid="{0BD2DDA2-3A7E-407E-94E2-388101C1FBDB}">
      <formula1>"WATER, AIR, ARGON, HELIUM, HYDROGEN, NITROGEN"</formula1>
    </dataValidation>
  </dataValidations>
  <pageMargins left="0.7" right="0.7" top="0.75" bottom="0.75" header="0.3" footer="0.3"/>
  <ignoredErrors>
    <ignoredError sqref="G2:G7 C16 C20:C30" unlocked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DF2BD-A34C-414C-8F97-FC70483D3445}">
  <sheetPr codeName="Sheet8">
    <tabColor rgb="FF00B050"/>
  </sheetPr>
  <dimension ref="B1:M63"/>
  <sheetViews>
    <sheetView showGridLines="0" topLeftCell="A8" zoomScale="70" zoomScaleNormal="70" workbookViewId="0">
      <selection activeCell="G22" sqref="G22"/>
    </sheetView>
  </sheetViews>
  <sheetFormatPr defaultRowHeight="15" x14ac:dyDescent="0.25"/>
  <cols>
    <col min="1" max="1" width="2.7109375" style="42" customWidth="1"/>
    <col min="2" max="2" width="40.140625" style="42" bestFit="1" customWidth="1"/>
    <col min="3" max="3" width="17.42578125" style="42" customWidth="1"/>
    <col min="4" max="4" width="10.28515625" style="42" customWidth="1"/>
    <col min="5" max="5" width="10.7109375" style="42" customWidth="1"/>
    <col min="6" max="6" width="10.85546875" style="42" customWidth="1"/>
    <col min="7" max="7" width="16" style="42" customWidth="1"/>
    <col min="8" max="8" width="18.7109375" style="42" customWidth="1"/>
    <col min="9" max="9" width="12.7109375" style="42" customWidth="1"/>
    <col min="10" max="10" width="8.7109375" style="42" customWidth="1"/>
    <col min="11" max="16384" width="9.140625" style="42"/>
  </cols>
  <sheetData>
    <row r="1" spans="2:10" ht="34.5" customHeight="1" thickBot="1" x14ac:dyDescent="0.3">
      <c r="B1" s="42" t="e" vm="1">
        <v>#VALUE!</v>
      </c>
      <c r="C1" s="90" t="s">
        <v>38</v>
      </c>
      <c r="G1" s="91" t="s">
        <v>39</v>
      </c>
    </row>
    <row r="2" spans="2:10" ht="21.95" customHeight="1" x14ac:dyDescent="0.25">
      <c r="B2" s="75" t="s">
        <v>0</v>
      </c>
      <c r="C2" s="75" t="str">
        <f>IF(C15&gt;C4,"CHANGE Pout &gt; Pout_CHOKED","Pout VALUE VALID")</f>
        <v>Pout VALUE VALID</v>
      </c>
      <c r="D2" s="76"/>
      <c r="E2"/>
      <c r="F2" s="74"/>
      <c r="G2" s="72"/>
      <c r="H2" s="73"/>
    </row>
    <row r="3" spans="2:10" ht="21.95" customHeight="1" x14ac:dyDescent="0.25">
      <c r="B3" s="130" t="s">
        <v>35</v>
      </c>
      <c r="C3" s="136">
        <v>120</v>
      </c>
      <c r="D3" s="124" t="s">
        <v>37</v>
      </c>
      <c r="E3"/>
      <c r="F3" s="145" t="s">
        <v>13</v>
      </c>
      <c r="G3" s="153">
        <f>+C5/60</f>
        <v>2.213780367808825</v>
      </c>
      <c r="H3" s="149" t="s">
        <v>86</v>
      </c>
    </row>
    <row r="4" spans="2:10" ht="21.95" customHeight="1" x14ac:dyDescent="0.25">
      <c r="B4" s="130" t="s">
        <v>36</v>
      </c>
      <c r="C4" s="136">
        <v>100</v>
      </c>
      <c r="D4" s="124" t="s">
        <v>37</v>
      </c>
      <c r="E4"/>
      <c r="F4" s="146"/>
      <c r="G4" s="152">
        <f>+G3*27.2155</f>
        <v>60.249139600101074</v>
      </c>
      <c r="H4" s="149" t="s">
        <v>3</v>
      </c>
    </row>
    <row r="5" spans="2:10" ht="21.95" customHeight="1" x14ac:dyDescent="0.25">
      <c r="B5" s="130" t="s">
        <v>13</v>
      </c>
      <c r="C5" s="136">
        <v>132.82682206852951</v>
      </c>
      <c r="D5" s="124" t="s">
        <v>57</v>
      </c>
      <c r="E5"/>
      <c r="F5" s="147"/>
      <c r="G5" s="153">
        <f>+G4/60</f>
        <v>1.0041523266683512</v>
      </c>
      <c r="H5" s="149" t="s">
        <v>17</v>
      </c>
    </row>
    <row r="6" spans="2:10" ht="21.95" customHeight="1" x14ac:dyDescent="0.25">
      <c r="B6" s="130" t="s">
        <v>42</v>
      </c>
      <c r="C6" s="137">
        <v>70</v>
      </c>
      <c r="D6" s="124" t="s">
        <v>4</v>
      </c>
      <c r="E6"/>
      <c r="F6" s="142" t="s">
        <v>33</v>
      </c>
      <c r="G6" s="153">
        <f>+G7*C49/C56</f>
        <v>19.87792065849515</v>
      </c>
      <c r="H6" s="149" t="s">
        <v>87</v>
      </c>
    </row>
    <row r="7" spans="2:10" ht="21.95" customHeight="1" x14ac:dyDescent="0.25">
      <c r="B7" s="144" t="s">
        <v>1</v>
      </c>
      <c r="C7" s="137" t="s">
        <v>48</v>
      </c>
      <c r="D7" s="124"/>
      <c r="E7"/>
      <c r="F7" s="143" t="s">
        <v>90</v>
      </c>
      <c r="G7" s="153">
        <f>(C5/(C49*0.062428))/60</f>
        <v>2.6246155677547027</v>
      </c>
      <c r="H7" s="150" t="s">
        <v>87</v>
      </c>
    </row>
    <row r="8" spans="2:10" ht="30" x14ac:dyDescent="0.25">
      <c r="B8" s="130" t="s">
        <v>59</v>
      </c>
      <c r="C8" s="137">
        <v>0.25</v>
      </c>
      <c r="D8" s="124" t="s">
        <v>5</v>
      </c>
      <c r="E8"/>
      <c r="F8" s="148" t="s">
        <v>69</v>
      </c>
      <c r="G8" s="153">
        <f>+C48/C51</f>
        <v>0.12227739852466264</v>
      </c>
      <c r="H8" s="151" t="s">
        <v>2</v>
      </c>
      <c r="I8" s="11"/>
      <c r="J8" s="11"/>
    </row>
    <row r="9" spans="2:10" x14ac:dyDescent="0.25">
      <c r="B9" s="131" t="s">
        <v>62</v>
      </c>
      <c r="C9" s="137">
        <v>1</v>
      </c>
      <c r="D9" s="124"/>
      <c r="E9"/>
      <c r="F9" s="148" t="s">
        <v>15</v>
      </c>
      <c r="G9" s="154">
        <f>1+1.8*(C58-C59)/C58*((C47-1)/(H36+1))</f>
        <v>1.015588365023788</v>
      </c>
      <c r="H9" s="151" t="s">
        <v>2</v>
      </c>
      <c r="I9" s="11"/>
      <c r="J9" s="11"/>
    </row>
    <row r="10" spans="2:10" ht="51.75" customHeight="1" x14ac:dyDescent="0.25">
      <c r="B10" s="131" t="s">
        <v>103</v>
      </c>
      <c r="C10" s="138" t="s">
        <v>99</v>
      </c>
      <c r="D10" s="124"/>
      <c r="E10"/>
      <c r="F10" s="148" t="s">
        <v>32</v>
      </c>
      <c r="G10" s="155">
        <f>SQRT(C11/((C11+1)*G11)*(((1-G11)^((C11+1)/C11))-1)/(2/(C11*H36)*LN(1-G11)-1))</f>
        <v>0.94391581310339912</v>
      </c>
      <c r="H10" s="151" t="s">
        <v>2</v>
      </c>
      <c r="I10" s="11"/>
      <c r="J10" s="11"/>
    </row>
    <row r="11" spans="2:10" ht="21.95" customHeight="1" x14ac:dyDescent="0.25">
      <c r="B11" s="130" t="s">
        <v>15</v>
      </c>
      <c r="C11" s="140">
        <f>IF(C10="isothermal",1,IF(C10="adiabatic",C47,G9))</f>
        <v>1.015588365023788</v>
      </c>
      <c r="D11" s="124"/>
      <c r="E11"/>
      <c r="F11" s="148" t="s">
        <v>89</v>
      </c>
      <c r="G11" s="155">
        <f>+(C58-C59)/C58</f>
        <v>0.16666666666666666</v>
      </c>
      <c r="H11" s="151" t="s">
        <v>2</v>
      </c>
      <c r="I11" s="11"/>
      <c r="J11" s="11"/>
    </row>
    <row r="12" spans="2:10" ht="21.95" customHeight="1" x14ac:dyDescent="0.25">
      <c r="B12" s="130" t="s">
        <v>18</v>
      </c>
      <c r="C12" s="137">
        <v>5.0000000000000001E-4</v>
      </c>
      <c r="D12" s="124" t="s">
        <v>5</v>
      </c>
      <c r="E12"/>
      <c r="F12"/>
    </row>
    <row r="13" spans="2:10" ht="21.95" customHeight="1" x14ac:dyDescent="0.25">
      <c r="B13" s="130" t="s">
        <v>12</v>
      </c>
      <c r="C13" s="136">
        <v>10</v>
      </c>
      <c r="D13" s="124" t="s">
        <v>6</v>
      </c>
      <c r="E13"/>
      <c r="F13"/>
    </row>
    <row r="14" spans="2:10" ht="21.95" customHeight="1" x14ac:dyDescent="0.25">
      <c r="B14" s="130" t="s">
        <v>70</v>
      </c>
      <c r="C14" s="136">
        <v>0</v>
      </c>
      <c r="D14" s="124" t="s">
        <v>6</v>
      </c>
      <c r="E14"/>
      <c r="F14"/>
    </row>
    <row r="15" spans="2:10" ht="21.95" customHeight="1" x14ac:dyDescent="0.25">
      <c r="B15" s="130" t="s">
        <v>104</v>
      </c>
      <c r="C15" s="152">
        <f>C3-C3*C57</f>
        <v>21.222375895574856</v>
      </c>
      <c r="D15" s="124" t="s">
        <v>37</v>
      </c>
      <c r="E15"/>
      <c r="F15"/>
    </row>
    <row r="16" spans="2:10" ht="21.95" customHeight="1" x14ac:dyDescent="0.25"/>
    <row r="17" spans="2:13" ht="21.95" customHeight="1" x14ac:dyDescent="0.25">
      <c r="B17" s="46"/>
      <c r="C17" s="46"/>
      <c r="D17" s="46"/>
    </row>
    <row r="18" spans="2:13" ht="21.95" customHeight="1" x14ac:dyDescent="0.25">
      <c r="B18" s="185" t="s">
        <v>71</v>
      </c>
      <c r="C18" s="185"/>
      <c r="D18"/>
      <c r="E18"/>
      <c r="F18"/>
      <c r="G18"/>
      <c r="H18"/>
      <c r="I18"/>
      <c r="J18"/>
      <c r="K18"/>
      <c r="L18"/>
      <c r="M18"/>
    </row>
    <row r="19" spans="2:13" ht="21.95" customHeight="1" x14ac:dyDescent="0.25">
      <c r="B19" s="141" t="s">
        <v>72</v>
      </c>
      <c r="C19" s="43">
        <f>(C58-C59)+C14*0.3048*C49*C54</f>
        <v>137900</v>
      </c>
      <c r="D19"/>
      <c r="E19"/>
      <c r="F19"/>
      <c r="G19"/>
      <c r="H19"/>
      <c r="I19"/>
      <c r="J19"/>
      <c r="K19"/>
      <c r="L19"/>
      <c r="M19"/>
    </row>
    <row r="20" spans="2:13" ht="21.95" customHeight="1" x14ac:dyDescent="0.25">
      <c r="B20" s="141" t="s">
        <v>84</v>
      </c>
      <c r="C20" s="44">
        <f>+C49*C54*F36/(G10^2)</f>
        <v>137900.00000001991</v>
      </c>
      <c r="D20"/>
      <c r="E20"/>
      <c r="F20"/>
      <c r="G20"/>
      <c r="H20"/>
      <c r="I20"/>
      <c r="J20"/>
      <c r="K20"/>
      <c r="L20"/>
      <c r="M20"/>
    </row>
    <row r="21" spans="2:13" ht="21.95" customHeight="1" x14ac:dyDescent="0.25">
      <c r="B21" s="141" t="s">
        <v>85</v>
      </c>
      <c r="C21" s="135">
        <f>+C19-C20</f>
        <v>-1.9907020032405853E-8</v>
      </c>
      <c r="D21"/>
      <c r="E21"/>
      <c r="F21"/>
      <c r="G21"/>
      <c r="H21"/>
      <c r="I21"/>
      <c r="J21"/>
      <c r="K21"/>
      <c r="L21"/>
      <c r="M21"/>
    </row>
    <row r="22" spans="2:13" ht="21.95" customHeight="1" x14ac:dyDescent="0.25">
      <c r="B22" s="47"/>
      <c r="D22" s="11"/>
    </row>
    <row r="23" spans="2:13" ht="21.95" customHeight="1" x14ac:dyDescent="0.25">
      <c r="B23" s="185" t="s">
        <v>34</v>
      </c>
      <c r="C23" s="185"/>
      <c r="D23" s="185"/>
      <c r="E23" s="185"/>
      <c r="F23" s="185"/>
      <c r="G23" s="185"/>
      <c r="H23" s="185"/>
      <c r="I23" s="185"/>
    </row>
    <row r="24" spans="2:13" ht="21.95" customHeight="1" x14ac:dyDescent="0.25">
      <c r="B24" s="95" t="s">
        <v>19</v>
      </c>
      <c r="C24" s="95" t="s">
        <v>20</v>
      </c>
      <c r="D24" s="95" t="s">
        <v>16</v>
      </c>
      <c r="E24" s="95" t="s">
        <v>81</v>
      </c>
      <c r="F24" s="95" t="s">
        <v>73</v>
      </c>
      <c r="G24" s="95"/>
      <c r="H24" s="95" t="s">
        <v>16</v>
      </c>
      <c r="I24" s="95"/>
    </row>
    <row r="25" spans="2:13" ht="21.95" customHeight="1" x14ac:dyDescent="0.25">
      <c r="B25" s="49" t="s">
        <v>21</v>
      </c>
      <c r="C25" s="50">
        <f>+C13</f>
        <v>10</v>
      </c>
      <c r="D25" s="51"/>
      <c r="E25" s="51"/>
      <c r="F25" s="52">
        <f>C55*((C25*12)/C8)*C48^2/(2*C54)</f>
        <v>926.98428724778319</v>
      </c>
      <c r="G25" s="43" t="s">
        <v>77</v>
      </c>
      <c r="H25" s="44">
        <f>C55*(C25*12)/C8</f>
        <v>11.894232313220254</v>
      </c>
      <c r="I25" s="43" t="s">
        <v>88</v>
      </c>
    </row>
    <row r="26" spans="2:13" x14ac:dyDescent="0.25">
      <c r="B26" s="49" t="s">
        <v>22</v>
      </c>
      <c r="C26" s="134">
        <v>0</v>
      </c>
      <c r="D26" s="51"/>
      <c r="E26" s="51">
        <v>16</v>
      </c>
      <c r="F26" s="52">
        <f t="shared" ref="F26:F33" si="0">+C26*E26*C$53*C$48^2/(2*C$54)</f>
        <v>0</v>
      </c>
      <c r="G26" s="81" t="s">
        <v>80</v>
      </c>
      <c r="H26" s="53">
        <f t="shared" ref="H26:H33" si="1">+C26*E26*C$53</f>
        <v>0</v>
      </c>
      <c r="I26" s="82" t="s">
        <v>81</v>
      </c>
    </row>
    <row r="27" spans="2:13" x14ac:dyDescent="0.25">
      <c r="B27" s="49" t="s">
        <v>23</v>
      </c>
      <c r="C27" s="134">
        <v>0</v>
      </c>
      <c r="D27" s="51"/>
      <c r="E27" s="51">
        <v>30</v>
      </c>
      <c r="F27" s="52">
        <f t="shared" si="0"/>
        <v>0</v>
      </c>
      <c r="G27" s="81"/>
      <c r="H27" s="53">
        <f t="shared" si="1"/>
        <v>0</v>
      </c>
      <c r="I27" s="83"/>
    </row>
    <row r="28" spans="2:13" x14ac:dyDescent="0.25">
      <c r="B28" s="49" t="s">
        <v>24</v>
      </c>
      <c r="C28" s="134">
        <v>0</v>
      </c>
      <c r="D28" s="51"/>
      <c r="E28" s="51">
        <v>15</v>
      </c>
      <c r="F28" s="52">
        <f t="shared" si="0"/>
        <v>0</v>
      </c>
      <c r="G28" s="81"/>
      <c r="H28" s="53">
        <f t="shared" si="1"/>
        <v>0</v>
      </c>
      <c r="I28" s="83"/>
    </row>
    <row r="29" spans="2:13" x14ac:dyDescent="0.25">
      <c r="B29" s="49" t="s">
        <v>25</v>
      </c>
      <c r="C29" s="134">
        <v>0</v>
      </c>
      <c r="D29" s="51"/>
      <c r="E29" s="51">
        <v>3</v>
      </c>
      <c r="F29" s="52">
        <f t="shared" si="0"/>
        <v>0</v>
      </c>
      <c r="G29" s="81"/>
      <c r="H29" s="53">
        <f t="shared" si="1"/>
        <v>0</v>
      </c>
      <c r="I29" s="83"/>
    </row>
    <row r="30" spans="2:13" x14ac:dyDescent="0.25">
      <c r="B30" s="49" t="s">
        <v>26</v>
      </c>
      <c r="C30" s="134">
        <v>0</v>
      </c>
      <c r="D30" s="51"/>
      <c r="E30" s="51">
        <v>50</v>
      </c>
      <c r="F30" s="52">
        <f t="shared" si="0"/>
        <v>0</v>
      </c>
      <c r="G30" s="81"/>
      <c r="H30" s="53">
        <f t="shared" si="1"/>
        <v>0</v>
      </c>
      <c r="I30" s="83"/>
    </row>
    <row r="31" spans="2:13" x14ac:dyDescent="0.25">
      <c r="B31" s="49" t="s">
        <v>27</v>
      </c>
      <c r="C31" s="134">
        <v>0</v>
      </c>
      <c r="D31" s="51"/>
      <c r="E31" s="51">
        <v>340</v>
      </c>
      <c r="F31" s="52">
        <f t="shared" si="0"/>
        <v>0</v>
      </c>
      <c r="G31" s="81"/>
      <c r="H31" s="53">
        <f t="shared" si="1"/>
        <v>0</v>
      </c>
      <c r="I31" s="83"/>
    </row>
    <row r="32" spans="2:13" x14ac:dyDescent="0.25">
      <c r="B32" s="49" t="s">
        <v>28</v>
      </c>
      <c r="C32" s="134">
        <v>0</v>
      </c>
      <c r="D32" s="51"/>
      <c r="E32" s="51">
        <v>45</v>
      </c>
      <c r="F32" s="52">
        <f t="shared" si="0"/>
        <v>0</v>
      </c>
      <c r="G32" s="81"/>
      <c r="H32" s="53">
        <f t="shared" si="1"/>
        <v>0</v>
      </c>
      <c r="I32" s="83"/>
    </row>
    <row r="33" spans="2:11" x14ac:dyDescent="0.25">
      <c r="B33" s="49" t="s">
        <v>29</v>
      </c>
      <c r="C33" s="134">
        <v>0</v>
      </c>
      <c r="D33" s="51"/>
      <c r="E33" s="51">
        <v>20</v>
      </c>
      <c r="F33" s="52">
        <f t="shared" si="0"/>
        <v>0</v>
      </c>
      <c r="G33" s="81"/>
      <c r="H33" s="53">
        <f t="shared" si="1"/>
        <v>0</v>
      </c>
      <c r="I33" s="83"/>
    </row>
    <row r="34" spans="2:11" x14ac:dyDescent="0.25">
      <c r="B34" s="49" t="s">
        <v>30</v>
      </c>
      <c r="C34" s="134">
        <v>0</v>
      </c>
      <c r="D34" s="50">
        <v>0.5</v>
      </c>
      <c r="E34" s="51"/>
      <c r="F34" s="52">
        <f>+C34*D34*C$48^2/(2*C$54)</f>
        <v>0</v>
      </c>
      <c r="G34" s="81"/>
      <c r="H34" s="53">
        <f>+C34*D34</f>
        <v>0</v>
      </c>
      <c r="I34" s="83"/>
    </row>
    <row r="35" spans="2:11" x14ac:dyDescent="0.25">
      <c r="B35" s="49" t="s">
        <v>31</v>
      </c>
      <c r="C35" s="134">
        <v>0</v>
      </c>
      <c r="D35" s="50">
        <v>1</v>
      </c>
      <c r="E35" s="51"/>
      <c r="F35" s="52">
        <f>+C35*D35*C$48^2/(2*C$54)</f>
        <v>0</v>
      </c>
      <c r="G35" s="81"/>
      <c r="H35" s="53">
        <f>+C35*D35</f>
        <v>0</v>
      </c>
      <c r="I35" s="84"/>
    </row>
    <row r="36" spans="2:11" x14ac:dyDescent="0.25">
      <c r="E36" s="42" t="s">
        <v>83</v>
      </c>
      <c r="F36" s="54">
        <f>+SUM(F25:F35)</f>
        <v>926.98428724778319</v>
      </c>
      <c r="H36" s="48">
        <f>SUM(H25:H35)</f>
        <v>11.894232313220254</v>
      </c>
    </row>
    <row r="37" spans="2:11" x14ac:dyDescent="0.25">
      <c r="B37" s="55"/>
    </row>
    <row r="38" spans="2:11" ht="15.75" hidden="1" thickBot="1" x14ac:dyDescent="0.3">
      <c r="B38" s="120" t="s">
        <v>74</v>
      </c>
      <c r="C38" s="120"/>
      <c r="D38" s="120"/>
      <c r="E38" s="120"/>
      <c r="F38" s="120"/>
      <c r="G38" s="120"/>
      <c r="H38" s="120"/>
      <c r="I38" s="120"/>
      <c r="J38" s="120"/>
      <c r="K38" s="120"/>
    </row>
    <row r="39" spans="2:11" ht="15.75" hidden="1" thickBot="1" x14ac:dyDescent="0.3">
      <c r="B39" s="14" t="s">
        <v>7</v>
      </c>
      <c r="C39" s="56">
        <f>_xlfn.XLOOKUP(C7,'gas properties'!B3:B8,'gas properties'!C3:C8)</f>
        <v>39.950000000000003</v>
      </c>
      <c r="D39" s="20" t="s">
        <v>8</v>
      </c>
      <c r="E39" s="15"/>
      <c r="F39" s="15"/>
      <c r="G39" s="15"/>
      <c r="H39"/>
      <c r="I39"/>
      <c r="J39"/>
      <c r="K39"/>
    </row>
    <row r="40" spans="2:11" ht="15.75" hidden="1" thickBot="1" x14ac:dyDescent="0.3">
      <c r="B40" s="14"/>
      <c r="C40" s="27" t="s">
        <v>54</v>
      </c>
      <c r="D40" s="26"/>
      <c r="E40" s="57" t="s">
        <v>55</v>
      </c>
      <c r="F40" s="15"/>
      <c r="G40" s="61" t="s">
        <v>52</v>
      </c>
      <c r="H40"/>
      <c r="I40"/>
      <c r="J40"/>
      <c r="K40"/>
    </row>
    <row r="41" spans="2:11" ht="15.75" hidden="1" thickBot="1" x14ac:dyDescent="0.3">
      <c r="B41" s="14" t="s">
        <v>10</v>
      </c>
      <c r="C41" s="58">
        <f>IF(C7="WATER",999.8,(1/1000)*C58*C39/(C43*C60))</f>
        <v>13.511059593348232</v>
      </c>
      <c r="D41" s="59" t="s">
        <v>51</v>
      </c>
      <c r="E41" s="60">
        <f>IF(C7="water","NA",[1]!PropsSI("Dmass","T",C60,"P",C58,"HEOS::"&amp;C7))</f>
        <v>13.583421041121454</v>
      </c>
      <c r="F41" s="59" t="s">
        <v>51</v>
      </c>
      <c r="G41" s="61">
        <f>IF(C7="water","NA",+(C41-E41)/E41)</f>
        <v>-5.3271887512107742E-3</v>
      </c>
      <c r="H41"/>
      <c r="I41"/>
      <c r="J41"/>
      <c r="K41"/>
    </row>
    <row r="42" spans="2:11" ht="15.75" hidden="1" thickBot="1" x14ac:dyDescent="0.3">
      <c r="B42" s="14" t="s">
        <v>9</v>
      </c>
      <c r="C42" s="62">
        <f>IF(C7="WATER",0.00002414 * 10^(247.8/(C60-140)),IF(C7="air",0.00001716*(C60/273.15)^1.5*383.55/(C60+110.4),IF(C7="nitrogen",0.00001663*(C60/273.15)^1.5*383.55/(C60+106.7),IF(C7="argon",0.00002125*(C60/273.15)^1.5*383.55/(C60+114),IF(C7="helium",0.00001865*(C60/273.15)^0.647,IF(C7="hydrogen",0.000008411*(C60/273.15)^0.678))))))</f>
        <v>2.2322375362765166E-5</v>
      </c>
      <c r="D42" s="59" t="s">
        <v>56</v>
      </c>
      <c r="E42" s="62">
        <f>[1]!PropsSI("V","T",C60,"P",C58,"HEOS::"&amp;C7)</f>
        <v>2.2507974868553148E-5</v>
      </c>
      <c r="F42" s="59" t="s">
        <v>56</v>
      </c>
      <c r="G42" s="61">
        <f>+(C42-E42)/E42</f>
        <v>-8.2459442429576729E-3</v>
      </c>
      <c r="H42"/>
      <c r="I42"/>
      <c r="J42"/>
      <c r="K42"/>
    </row>
    <row r="43" spans="2:11" ht="15.75" hidden="1" thickBot="1" x14ac:dyDescent="0.3">
      <c r="B43" s="14" t="s">
        <v>44</v>
      </c>
      <c r="C43" s="63">
        <v>8.3140000000000001</v>
      </c>
      <c r="D43" s="59" t="s">
        <v>45</v>
      </c>
      <c r="E43" s="59"/>
      <c r="F43" s="15"/>
      <c r="G43" s="15"/>
      <c r="H43"/>
      <c r="I43"/>
      <c r="J43"/>
      <c r="K43"/>
    </row>
    <row r="44" spans="2:11" ht="15.75" hidden="1" thickBot="1" x14ac:dyDescent="0.3">
      <c r="B44" s="14" t="s">
        <v>11</v>
      </c>
      <c r="C44" s="64">
        <f>C49*C48*C8*0.0254/C50</f>
        <v>150293.50321587079</v>
      </c>
      <c r="D44" s="59" t="s">
        <v>2</v>
      </c>
      <c r="E44" s="59"/>
      <c r="F44" s="15"/>
      <c r="G44" s="15"/>
      <c r="H44"/>
      <c r="I44"/>
      <c r="J44"/>
      <c r="K44"/>
    </row>
    <row r="45" spans="2:11" ht="15.75" hidden="1" thickBot="1" x14ac:dyDescent="0.3">
      <c r="B45" s="14" t="s">
        <v>64</v>
      </c>
      <c r="C45" s="65">
        <f>64/C44</f>
        <v>4.2583344343284749E-4</v>
      </c>
      <c r="D45" s="59" t="s">
        <v>2</v>
      </c>
      <c r="E45" s="59"/>
      <c r="F45" s="16"/>
      <c r="G45" s="16"/>
      <c r="H45" s="11"/>
      <c r="I45" s="11"/>
      <c r="J45" s="11"/>
      <c r="K45" s="11"/>
    </row>
    <row r="46" spans="2:11" ht="15.75" hidden="1" thickBot="1" x14ac:dyDescent="0.3">
      <c r="B46" s="14" t="s">
        <v>65</v>
      </c>
      <c r="C46" s="60">
        <f>0.25/(LOG10(C12/(3.7*C8)+5.74/(C44^0.9))^2)</f>
        <v>2.4779650652542194E-2</v>
      </c>
      <c r="D46" s="59" t="s">
        <v>2</v>
      </c>
      <c r="E46" s="59"/>
      <c r="F46" s="16"/>
      <c r="G46" s="16"/>
      <c r="H46" s="11"/>
      <c r="I46" s="11"/>
      <c r="J46" s="11"/>
      <c r="K46" s="11"/>
    </row>
    <row r="47" spans="2:11" hidden="1" x14ac:dyDescent="0.25">
      <c r="B47" s="59" t="s">
        <v>67</v>
      </c>
      <c r="C47" s="60">
        <f>IF(C7="water","NA",_xlfn.XLOOKUP(C7,'gas properties'!B4:B8,'gas properties'!D4:D8))</f>
        <v>1.67</v>
      </c>
      <c r="D47" s="59" t="s">
        <v>2</v>
      </c>
      <c r="E47" s="59"/>
      <c r="F47" s="16"/>
      <c r="G47" s="16"/>
      <c r="H47" s="11"/>
      <c r="I47" s="11"/>
      <c r="J47" s="11"/>
      <c r="K47" s="11"/>
    </row>
    <row r="48" spans="2:11" hidden="1" x14ac:dyDescent="0.25">
      <c r="B48" s="59" t="s">
        <v>60</v>
      </c>
      <c r="C48" s="66">
        <f>0.2486*C5/(C49*C8^2)</f>
        <v>39.103666430417604</v>
      </c>
      <c r="D48" s="59" t="s">
        <v>14</v>
      </c>
      <c r="E48" s="59"/>
      <c r="F48" s="11"/>
      <c r="G48" s="11"/>
      <c r="H48" s="11"/>
      <c r="I48" s="11"/>
      <c r="J48" s="11"/>
      <c r="K48" s="11"/>
    </row>
    <row r="49" spans="2:11" hidden="1" x14ac:dyDescent="0.25">
      <c r="B49" s="59" t="s">
        <v>61</v>
      </c>
      <c r="C49" s="59">
        <f>IF(C9=1,C41,E41)</f>
        <v>13.511059593348232</v>
      </c>
      <c r="D49" s="59" t="s">
        <v>51</v>
      </c>
      <c r="E49" s="59"/>
      <c r="F49" s="11"/>
      <c r="G49" s="11"/>
      <c r="H49" s="11"/>
      <c r="I49" s="11"/>
      <c r="J49" s="11"/>
      <c r="K49" s="11"/>
    </row>
    <row r="50" spans="2:11" hidden="1" x14ac:dyDescent="0.25">
      <c r="B50" s="59" t="s">
        <v>63</v>
      </c>
      <c r="C50" s="62">
        <f>IF(C9=1,C42,E42)</f>
        <v>2.2322375362765166E-5</v>
      </c>
      <c r="D50" s="59" t="s">
        <v>56</v>
      </c>
      <c r="E50" s="59"/>
      <c r="F50" s="11"/>
      <c r="G50" s="11"/>
      <c r="H50" s="11"/>
      <c r="I50" s="11"/>
      <c r="J50" s="11"/>
      <c r="K50" s="11"/>
    </row>
    <row r="51" spans="2:11" hidden="1" x14ac:dyDescent="0.25">
      <c r="B51" s="59" t="s">
        <v>68</v>
      </c>
      <c r="C51" s="59">
        <f>SQRT(C47*C43*C60/(C39/1000))</f>
        <v>319.79472005638576</v>
      </c>
      <c r="D51" s="59" t="s">
        <v>14</v>
      </c>
      <c r="E51" s="59"/>
      <c r="F51" s="11"/>
      <c r="G51" s="11"/>
      <c r="H51" s="11"/>
      <c r="I51" s="11"/>
      <c r="J51" s="11"/>
      <c r="K51" s="11"/>
    </row>
    <row r="52" spans="2:11" hidden="1" x14ac:dyDescent="0.25">
      <c r="E52" s="59"/>
      <c r="F52" s="11"/>
      <c r="G52" s="11"/>
      <c r="H52" s="11"/>
      <c r="I52" s="11"/>
      <c r="J52" s="11"/>
      <c r="K52" s="11"/>
    </row>
    <row r="53" spans="2:11" ht="75" hidden="1" x14ac:dyDescent="0.25">
      <c r="B53" s="59" t="s">
        <v>82</v>
      </c>
      <c r="C53" s="60">
        <f>0.25/(LOG10(C12/(3.7*C8))^2)</f>
        <v>2.3420495762304316E-2</v>
      </c>
      <c r="D53" s="59" t="s">
        <v>2</v>
      </c>
      <c r="E53" s="67" t="s">
        <v>79</v>
      </c>
      <c r="F53" s="11"/>
      <c r="G53" s="11"/>
      <c r="H53" s="11"/>
      <c r="I53" s="11"/>
      <c r="J53" s="11"/>
      <c r="K53" s="11"/>
    </row>
    <row r="54" spans="2:11" hidden="1" x14ac:dyDescent="0.25">
      <c r="B54" s="59" t="s">
        <v>75</v>
      </c>
      <c r="C54" s="60">
        <v>9.81</v>
      </c>
      <c r="D54" s="59" t="s">
        <v>76</v>
      </c>
      <c r="E54" s="59"/>
      <c r="F54" s="11"/>
      <c r="G54" s="11"/>
      <c r="H54" s="11"/>
      <c r="I54" s="11"/>
      <c r="J54" s="11"/>
      <c r="K54" s="11"/>
    </row>
    <row r="55" spans="2:11" hidden="1" x14ac:dyDescent="0.25">
      <c r="B55" s="67" t="s">
        <v>78</v>
      </c>
      <c r="C55" s="60">
        <f>IF(C44&lt;5000,C45,C46)</f>
        <v>2.4779650652542194E-2</v>
      </c>
      <c r="D55" s="59" t="s">
        <v>2</v>
      </c>
      <c r="E55" s="59"/>
      <c r="F55" s="11"/>
      <c r="G55" s="11"/>
      <c r="H55" s="11"/>
      <c r="I55" s="11"/>
      <c r="J55" s="11"/>
      <c r="K55" s="11"/>
    </row>
    <row r="56" spans="2:11" hidden="1" x14ac:dyDescent="0.25">
      <c r="B56" s="68" t="s">
        <v>91</v>
      </c>
      <c r="C56" s="69">
        <f>IF(C7="water","NA",_xlfn.XLOOKUP(C7,'gas properties'!B4:B8,'gas properties'!E4:E8))</f>
        <v>1.7839560764323867</v>
      </c>
      <c r="D56" s="68" t="s">
        <v>51</v>
      </c>
      <c r="E56" s="59"/>
      <c r="F56" s="11"/>
      <c r="G56" s="11"/>
      <c r="H56" s="11"/>
      <c r="I56" s="11"/>
      <c r="J56" s="11"/>
      <c r="K56" s="11"/>
    </row>
    <row r="57" spans="2:11" hidden="1" x14ac:dyDescent="0.25">
      <c r="B57" s="59" t="s">
        <v>93</v>
      </c>
      <c r="C57" s="59">
        <f>+EXP(-EXP(0.43-0.6*C47-0.43*LN(H36)))</f>
        <v>0.82314686753687616</v>
      </c>
      <c r="D57" s="59" t="s">
        <v>2</v>
      </c>
      <c r="E57" s="59"/>
      <c r="F57" s="11"/>
      <c r="G57" s="11"/>
      <c r="H57" s="11"/>
      <c r="I57" s="11"/>
      <c r="J57" s="11"/>
      <c r="K57" s="11"/>
    </row>
    <row r="58" spans="2:11" hidden="1" x14ac:dyDescent="0.25">
      <c r="B58" s="59" t="s">
        <v>35</v>
      </c>
      <c r="C58" s="59">
        <f>6895*C3</f>
        <v>827400</v>
      </c>
      <c r="D58" s="59" t="s">
        <v>43</v>
      </c>
      <c r="E58" s="59"/>
      <c r="F58" s="11"/>
      <c r="G58" s="11"/>
      <c r="H58" s="11"/>
      <c r="I58" s="11"/>
      <c r="J58" s="11"/>
      <c r="K58" s="11"/>
    </row>
    <row r="59" spans="2:11" hidden="1" x14ac:dyDescent="0.25">
      <c r="B59" s="59" t="s">
        <v>36</v>
      </c>
      <c r="C59" s="59">
        <f>6895*C4</f>
        <v>689500</v>
      </c>
      <c r="D59" s="59" t="s">
        <v>43</v>
      </c>
      <c r="E59" s="59"/>
      <c r="F59" s="11"/>
      <c r="G59" s="11"/>
      <c r="H59" s="11"/>
      <c r="I59" s="11"/>
      <c r="J59" s="11"/>
      <c r="K59" s="11"/>
    </row>
    <row r="60" spans="2:11" hidden="1" x14ac:dyDescent="0.25">
      <c r="B60" s="59" t="s">
        <v>42</v>
      </c>
      <c r="C60" s="59">
        <f>+(C6-32)*5/9+273.15</f>
        <v>294.26111111111106</v>
      </c>
      <c r="D60" s="59" t="s">
        <v>16</v>
      </c>
      <c r="E60" s="59"/>
      <c r="F60" s="11"/>
      <c r="G60" s="11"/>
      <c r="H60" s="11"/>
      <c r="I60" s="11"/>
      <c r="J60" s="11"/>
      <c r="K60" s="11"/>
    </row>
    <row r="61" spans="2:11" hidden="1" x14ac:dyDescent="0.25">
      <c r="B61" s="59"/>
      <c r="C61" s="59"/>
      <c r="D61" s="59"/>
      <c r="E61" s="46"/>
      <c r="F61" s="11"/>
      <c r="G61" s="11"/>
      <c r="H61" s="11"/>
      <c r="I61" s="11"/>
      <c r="J61" s="11"/>
      <c r="K61" s="11"/>
    </row>
    <row r="62" spans="2:11" hidden="1" x14ac:dyDescent="0.25">
      <c r="B62" s="46"/>
      <c r="C62" s="70"/>
      <c r="D62" s="46"/>
      <c r="E62" s="46"/>
      <c r="F62" s="11"/>
      <c r="G62" s="11"/>
      <c r="H62" s="11"/>
      <c r="I62" s="11"/>
      <c r="J62" s="11"/>
      <c r="K62" s="11"/>
    </row>
    <row r="63" spans="2:11" hidden="1" x14ac:dyDescent="0.25">
      <c r="B63" s="71"/>
    </row>
  </sheetData>
  <sheetProtection selectLockedCells="1"/>
  <mergeCells count="6">
    <mergeCell ref="F3:F5"/>
    <mergeCell ref="B18:C18"/>
    <mergeCell ref="B23:I23"/>
    <mergeCell ref="B38:K38"/>
    <mergeCell ref="G26:G35"/>
    <mergeCell ref="I26:I35"/>
  </mergeCells>
  <dataValidations count="2">
    <dataValidation type="list" allowBlank="1" showInputMessage="1" showErrorMessage="1" sqref="C7" xr:uid="{87530A26-0EFD-440D-82D9-2CB37E72E346}">
      <formula1>"WATER, AIR, ARGON, HELIUM, HYDROGEN, NITROGEN"</formula1>
    </dataValidation>
    <dataValidation type="list" allowBlank="1" showInputMessage="1" showErrorMessage="1" sqref="C10" xr:uid="{E075C7DD-1020-4B50-9D6D-10AFEAD31151}">
      <formula1>"isothermal,adiabatic,calculated"</formula1>
    </dataValidation>
  </dataValidations>
  <pageMargins left="0.7" right="0.7" top="0.75" bottom="0.75" header="0.3" footer="0.3"/>
  <pageSetup orientation="portrait" r:id="rId1"/>
  <ignoredErrors>
    <ignoredError sqref="C11 C15 G3:G8 C21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9961-6B53-494E-911E-4A3F1028448C}">
  <sheetPr codeName="Sheet9">
    <tabColor rgb="FF00B050"/>
  </sheetPr>
  <dimension ref="B1:K82"/>
  <sheetViews>
    <sheetView showGridLines="0" tabSelected="1" zoomScale="70" zoomScaleNormal="70" workbookViewId="0">
      <selection activeCell="D21" sqref="D21"/>
    </sheetView>
  </sheetViews>
  <sheetFormatPr defaultRowHeight="15" x14ac:dyDescent="0.25"/>
  <cols>
    <col min="2" max="2" width="30.85546875" customWidth="1"/>
    <col min="3" max="3" width="47.28515625" bestFit="1" customWidth="1"/>
    <col min="4" max="4" width="19.140625" customWidth="1"/>
    <col min="5" max="5" width="12" bestFit="1" customWidth="1"/>
    <col min="6" max="6" width="15.85546875" customWidth="1"/>
    <col min="7" max="7" width="17.140625" customWidth="1"/>
    <col min="8" max="8" width="14" bestFit="1" customWidth="1"/>
    <col min="9" max="9" width="14.85546875" bestFit="1" customWidth="1"/>
  </cols>
  <sheetData>
    <row r="1" spans="2:10" s="42" customFormat="1" ht="32.25" customHeight="1" x14ac:dyDescent="0.25">
      <c r="B1" s="42" t="e" vm="1">
        <v>#VALUE!</v>
      </c>
      <c r="C1" s="90" t="s">
        <v>38</v>
      </c>
      <c r="G1" s="91" t="s">
        <v>39</v>
      </c>
    </row>
    <row r="2" spans="2:10" x14ac:dyDescent="0.25">
      <c r="B2" s="156" t="s">
        <v>0</v>
      </c>
      <c r="C2" s="157" t="str">
        <f>IF(C15&gt;C4,"CHANGE Pout &gt; Pout_CHOKED","Pout VALUE VALID")</f>
        <v>Pout VALUE VALID</v>
      </c>
      <c r="D2" s="157"/>
      <c r="F2" s="43"/>
      <c r="G2" s="43"/>
      <c r="H2" s="43"/>
    </row>
    <row r="3" spans="2:10" ht="30" customHeight="1" x14ac:dyDescent="0.25">
      <c r="B3" s="131" t="s">
        <v>35</v>
      </c>
      <c r="C3" s="158">
        <v>500</v>
      </c>
      <c r="D3" s="7" t="s">
        <v>37</v>
      </c>
      <c r="F3" s="165" t="s">
        <v>13</v>
      </c>
      <c r="G3" s="166">
        <f>+C5/60</f>
        <v>21.793831306402485</v>
      </c>
      <c r="H3" s="7" t="s">
        <v>86</v>
      </c>
    </row>
    <row r="4" spans="2:10" x14ac:dyDescent="0.25">
      <c r="B4" s="131" t="s">
        <v>36</v>
      </c>
      <c r="C4" s="158">
        <v>300</v>
      </c>
      <c r="D4" s="7" t="s">
        <v>37</v>
      </c>
      <c r="F4" s="165"/>
      <c r="G4" s="167">
        <f>+G3*27.2155</f>
        <v>593.13001591939678</v>
      </c>
      <c r="H4" s="7" t="s">
        <v>3</v>
      </c>
    </row>
    <row r="5" spans="2:10" x14ac:dyDescent="0.25">
      <c r="B5" s="131" t="s">
        <v>13</v>
      </c>
      <c r="C5" s="159">
        <v>1307.6298783841492</v>
      </c>
      <c r="D5" s="7" t="s">
        <v>57</v>
      </c>
      <c r="F5" s="165"/>
      <c r="G5" s="166">
        <f>+G4/60</f>
        <v>9.8855002653232802</v>
      </c>
      <c r="H5" s="17" t="s">
        <v>17</v>
      </c>
    </row>
    <row r="6" spans="2:10" x14ac:dyDescent="0.25">
      <c r="B6" s="131" t="s">
        <v>42</v>
      </c>
      <c r="C6" s="160">
        <v>70</v>
      </c>
      <c r="D6" s="17" t="s">
        <v>4</v>
      </c>
      <c r="F6" s="164" t="s">
        <v>33</v>
      </c>
      <c r="G6" s="168">
        <f>+G7*C52/C58</f>
        <v>1955.9680871661883</v>
      </c>
      <c r="H6" s="7" t="s">
        <v>87</v>
      </c>
    </row>
    <row r="7" spans="2:10" x14ac:dyDescent="0.25">
      <c r="B7" s="131" t="s">
        <v>1</v>
      </c>
      <c r="C7" s="160" t="s">
        <v>49</v>
      </c>
      <c r="D7" s="17"/>
      <c r="E7" s="33"/>
      <c r="F7" s="164" t="s">
        <v>90</v>
      </c>
      <c r="G7" s="168">
        <f>(C5/(C52*0.062428))/60</f>
        <v>61.888105580546814</v>
      </c>
      <c r="H7" s="7" t="s">
        <v>87</v>
      </c>
    </row>
    <row r="8" spans="2:10" x14ac:dyDescent="0.25">
      <c r="B8" s="131" t="s">
        <v>59</v>
      </c>
      <c r="C8" s="160">
        <v>0.5</v>
      </c>
      <c r="D8" s="17" t="s">
        <v>5</v>
      </c>
      <c r="E8" s="33"/>
      <c r="F8" s="164" t="s">
        <v>69</v>
      </c>
      <c r="G8" s="168">
        <f>+C51/C54</f>
        <v>0.22817186428444144</v>
      </c>
      <c r="H8" s="7" t="s">
        <v>2</v>
      </c>
      <c r="I8" s="8"/>
      <c r="J8" s="8"/>
    </row>
    <row r="9" spans="2:10" x14ac:dyDescent="0.25">
      <c r="B9" s="131" t="s">
        <v>62</v>
      </c>
      <c r="C9" s="160">
        <v>1</v>
      </c>
      <c r="D9" s="17"/>
      <c r="E9" s="33"/>
      <c r="F9" s="164" t="s">
        <v>15</v>
      </c>
      <c r="G9" s="163">
        <f>1+1.8*(C61-C62)/C61*((C50-1)/(H37+1))</f>
        <v>1.0065782518619673</v>
      </c>
      <c r="H9" s="7" t="s">
        <v>2</v>
      </c>
      <c r="I9" s="8"/>
      <c r="J9" s="8"/>
    </row>
    <row r="10" spans="2:10" ht="30" x14ac:dyDescent="0.25">
      <c r="B10" s="131" t="s">
        <v>103</v>
      </c>
      <c r="C10" s="160" t="s">
        <v>99</v>
      </c>
      <c r="D10" s="17"/>
      <c r="E10" s="33"/>
      <c r="F10" s="164" t="s">
        <v>32</v>
      </c>
      <c r="G10" s="163">
        <f>SQRT(C11/((C11+1)*G11)*(((1-G11)^((C11+1)/G9))-1)/(2/(C11*H37)*LN(1-G11)-1))</f>
        <v>0.88883477262887334</v>
      </c>
      <c r="H10" s="7" t="s">
        <v>2</v>
      </c>
      <c r="I10" s="8"/>
      <c r="J10" s="8"/>
    </row>
    <row r="11" spans="2:10" x14ac:dyDescent="0.25">
      <c r="B11" s="131" t="s">
        <v>15</v>
      </c>
      <c r="C11" s="161">
        <f>IF(C10="isothermal",1,IF(C10="adiabatic",C50,G9))</f>
        <v>1.0065782518619673</v>
      </c>
      <c r="D11" s="17"/>
      <c r="E11" s="33"/>
      <c r="F11" s="164" t="s">
        <v>89</v>
      </c>
      <c r="G11" s="163">
        <f>+(C61-C62)/C61</f>
        <v>0.4</v>
      </c>
      <c r="H11" s="7" t="s">
        <v>2</v>
      </c>
      <c r="I11" s="8"/>
      <c r="J11" s="8"/>
    </row>
    <row r="12" spans="2:10" x14ac:dyDescent="0.25">
      <c r="B12" s="131" t="s">
        <v>18</v>
      </c>
      <c r="C12" s="162">
        <v>5.0000000000000001E-4</v>
      </c>
      <c r="D12" s="7" t="s">
        <v>5</v>
      </c>
    </row>
    <row r="13" spans="2:10" x14ac:dyDescent="0.25">
      <c r="B13" s="131" t="s">
        <v>12</v>
      </c>
      <c r="C13" s="160">
        <v>150</v>
      </c>
      <c r="D13" s="17" t="s">
        <v>6</v>
      </c>
    </row>
    <row r="14" spans="2:10" x14ac:dyDescent="0.25">
      <c r="B14" s="131" t="s">
        <v>70</v>
      </c>
      <c r="C14" s="160">
        <v>0</v>
      </c>
      <c r="D14" s="17" t="s">
        <v>6</v>
      </c>
    </row>
    <row r="15" spans="2:10" x14ac:dyDescent="0.25">
      <c r="B15" s="131" t="s">
        <v>94</v>
      </c>
      <c r="C15" s="163">
        <f>C3-C3*C59</f>
        <v>42.829144751290869</v>
      </c>
      <c r="D15" s="17" t="s">
        <v>37</v>
      </c>
    </row>
    <row r="18" spans="2:10" ht="15.75" x14ac:dyDescent="0.25">
      <c r="B18" s="185" t="s">
        <v>71</v>
      </c>
      <c r="C18" s="185"/>
      <c r="E18" s="120"/>
      <c r="F18" s="120"/>
      <c r="G18" s="120"/>
      <c r="H18" s="120"/>
      <c r="I18" s="120"/>
      <c r="J18" s="120"/>
    </row>
    <row r="19" spans="2:10" x14ac:dyDescent="0.25">
      <c r="B19" s="131" t="s">
        <v>72</v>
      </c>
      <c r="C19" s="169">
        <f>+C5*0.000126</f>
        <v>0.16476136467640279</v>
      </c>
      <c r="D19" s="9"/>
    </row>
    <row r="20" spans="2:10" x14ac:dyDescent="0.25">
      <c r="B20" s="131" t="s">
        <v>84</v>
      </c>
      <c r="C20" s="30">
        <f>SQRT((2*G9^2*C61*C60^2*C52)/((G9+1))*(((C62/C61)^((G9+1)/G9))-1)/(2*LN(C62/C61)-G9*H37))</f>
        <v>5.2218222261661541E-2</v>
      </c>
      <c r="D20" s="9"/>
    </row>
    <row r="21" spans="2:10" x14ac:dyDescent="0.25">
      <c r="B21" s="131" t="s">
        <v>85</v>
      </c>
      <c r="C21" s="170">
        <f>+C19-C20</f>
        <v>0.11254314241474125</v>
      </c>
      <c r="D21" s="9"/>
    </row>
    <row r="22" spans="2:10" x14ac:dyDescent="0.25">
      <c r="B22" s="34"/>
      <c r="D22" s="9"/>
    </row>
    <row r="23" spans="2:10" x14ac:dyDescent="0.25">
      <c r="B23" s="34"/>
      <c r="D23" s="9"/>
    </row>
    <row r="24" spans="2:10" ht="15.75" x14ac:dyDescent="0.25">
      <c r="B24" s="185" t="s">
        <v>34</v>
      </c>
      <c r="C24" s="185"/>
      <c r="D24" s="185"/>
      <c r="E24" s="185"/>
      <c r="F24" s="185"/>
      <c r="G24" s="185"/>
      <c r="H24" s="185"/>
      <c r="I24" s="185"/>
    </row>
    <row r="25" spans="2:10" x14ac:dyDescent="0.25">
      <c r="B25" s="95" t="s">
        <v>19</v>
      </c>
      <c r="C25" s="95" t="s">
        <v>20</v>
      </c>
      <c r="D25" s="95" t="s">
        <v>16</v>
      </c>
      <c r="E25" s="95" t="s">
        <v>81</v>
      </c>
      <c r="F25" s="95" t="s">
        <v>73</v>
      </c>
      <c r="G25" s="95"/>
      <c r="H25" s="95" t="s">
        <v>16</v>
      </c>
      <c r="I25" s="95"/>
    </row>
    <row r="26" spans="2:10" x14ac:dyDescent="0.25">
      <c r="B26" s="4" t="s">
        <v>21</v>
      </c>
      <c r="C26" s="5">
        <f>+C13</f>
        <v>150</v>
      </c>
      <c r="D26" s="6"/>
      <c r="E26" s="6"/>
      <c r="F26" s="31">
        <f>C57*((C26*12)/C8)*C51^2/(2*C56)</f>
        <v>195899.23553593364</v>
      </c>
      <c r="G26" s="7" t="s">
        <v>77</v>
      </c>
      <c r="H26" s="32">
        <f>C57*(C26*12)/C8</f>
        <v>72.332552496056394</v>
      </c>
      <c r="I26" s="7" t="s">
        <v>88</v>
      </c>
    </row>
    <row r="27" spans="2:10" x14ac:dyDescent="0.25">
      <c r="B27" s="4" t="s">
        <v>22</v>
      </c>
      <c r="C27" s="134">
        <v>0</v>
      </c>
      <c r="D27" s="6"/>
      <c r="E27" s="6">
        <v>16</v>
      </c>
      <c r="F27" s="31">
        <f>+C27*E27*C$55*C$51^2/(2*C$56)</f>
        <v>0</v>
      </c>
      <c r="G27" s="80" t="s">
        <v>80</v>
      </c>
      <c r="H27" s="30">
        <f>+C27*E27*C$55</f>
        <v>0</v>
      </c>
      <c r="I27" s="85" t="s">
        <v>81</v>
      </c>
    </row>
    <row r="28" spans="2:10" x14ac:dyDescent="0.25">
      <c r="B28" s="4" t="s">
        <v>23</v>
      </c>
      <c r="C28" s="134">
        <v>0</v>
      </c>
      <c r="D28" s="6"/>
      <c r="E28" s="6">
        <v>30</v>
      </c>
      <c r="F28" s="31">
        <f>+C28*E28*C$55*C$51^2/(2*C$56)</f>
        <v>0</v>
      </c>
      <c r="G28" s="80"/>
      <c r="H28" s="30">
        <f>+C28*E28*C$55</f>
        <v>0</v>
      </c>
      <c r="I28" s="86"/>
    </row>
    <row r="29" spans="2:10" x14ac:dyDescent="0.25">
      <c r="B29" s="4" t="s">
        <v>24</v>
      </c>
      <c r="C29" s="134">
        <v>0</v>
      </c>
      <c r="D29" s="6"/>
      <c r="E29" s="6">
        <v>15</v>
      </c>
      <c r="F29" s="31">
        <f>+C29*E29*C$55*C$51^2/(2*C$56)</f>
        <v>0</v>
      </c>
      <c r="G29" s="80"/>
      <c r="H29" s="30">
        <f>+C29*E29*C$55</f>
        <v>0</v>
      </c>
      <c r="I29" s="86"/>
    </row>
    <row r="30" spans="2:10" x14ac:dyDescent="0.25">
      <c r="B30" s="4" t="s">
        <v>25</v>
      </c>
      <c r="C30" s="134">
        <v>0</v>
      </c>
      <c r="D30" s="6"/>
      <c r="E30" s="6">
        <v>3</v>
      </c>
      <c r="F30" s="31">
        <f>+C30*E30*C$55*C$51^2/(2*C$56)</f>
        <v>0</v>
      </c>
      <c r="G30" s="80"/>
      <c r="H30" s="30">
        <f>+C30*E30*C$55</f>
        <v>0</v>
      </c>
      <c r="I30" s="86"/>
    </row>
    <row r="31" spans="2:10" x14ac:dyDescent="0.25">
      <c r="B31" s="4" t="s">
        <v>26</v>
      </c>
      <c r="C31" s="134">
        <v>0</v>
      </c>
      <c r="D31" s="6"/>
      <c r="E31" s="6">
        <v>50</v>
      </c>
      <c r="F31" s="31">
        <f>+C31*E31*C$55*C$51^2/(2*C$56)</f>
        <v>0</v>
      </c>
      <c r="G31" s="80"/>
      <c r="H31" s="30">
        <f>+C31*E31*C$55</f>
        <v>0</v>
      </c>
      <c r="I31" s="86"/>
    </row>
    <row r="32" spans="2:10" x14ac:dyDescent="0.25">
      <c r="B32" s="4" t="s">
        <v>27</v>
      </c>
      <c r="C32" s="134">
        <v>0</v>
      </c>
      <c r="D32" s="6"/>
      <c r="E32" s="6">
        <v>340</v>
      </c>
      <c r="F32" s="31">
        <f>+C32*E32*C$55*C$51^2/(2*C$56)</f>
        <v>0</v>
      </c>
      <c r="G32" s="80"/>
      <c r="H32" s="30">
        <f>+C32*E32*C$55</f>
        <v>0</v>
      </c>
      <c r="I32" s="86"/>
    </row>
    <row r="33" spans="2:11" x14ac:dyDescent="0.25">
      <c r="B33" s="4" t="s">
        <v>28</v>
      </c>
      <c r="C33" s="134">
        <v>0</v>
      </c>
      <c r="D33" s="6"/>
      <c r="E33" s="6">
        <v>45</v>
      </c>
      <c r="F33" s="31">
        <f>+C33*E33*C$55*C$51^2/(2*C$56)</f>
        <v>0</v>
      </c>
      <c r="G33" s="80"/>
      <c r="H33" s="30">
        <f>+C33*E33*C$55</f>
        <v>0</v>
      </c>
      <c r="I33" s="86"/>
    </row>
    <row r="34" spans="2:11" x14ac:dyDescent="0.25">
      <c r="B34" s="4" t="s">
        <v>29</v>
      </c>
      <c r="C34" s="134">
        <v>0</v>
      </c>
      <c r="D34" s="6"/>
      <c r="E34" s="6">
        <v>20</v>
      </c>
      <c r="F34" s="31">
        <f>+C34*E34*C$55*C$51^2/(2*C$56)</f>
        <v>0</v>
      </c>
      <c r="G34" s="80"/>
      <c r="H34" s="30">
        <f>+C34*E34*C$55</f>
        <v>0</v>
      </c>
      <c r="I34" s="86"/>
    </row>
    <row r="35" spans="2:11" x14ac:dyDescent="0.25">
      <c r="B35" s="4" t="s">
        <v>30</v>
      </c>
      <c r="C35" s="134">
        <v>0</v>
      </c>
      <c r="D35" s="5">
        <v>0.5</v>
      </c>
      <c r="E35" s="6"/>
      <c r="F35" s="31">
        <f>+C35*D35*C$51^2/(2*C$56)</f>
        <v>0</v>
      </c>
      <c r="G35" s="80"/>
      <c r="H35" s="30">
        <f>+C35*D35</f>
        <v>0</v>
      </c>
      <c r="I35" s="86"/>
    </row>
    <row r="36" spans="2:11" x14ac:dyDescent="0.25">
      <c r="B36" s="4" t="s">
        <v>31</v>
      </c>
      <c r="C36" s="134">
        <v>0</v>
      </c>
      <c r="D36" s="5">
        <v>1</v>
      </c>
      <c r="E36" s="6"/>
      <c r="F36" s="31">
        <f>+C36*D36*C$51^2/(2*C$56)</f>
        <v>0</v>
      </c>
      <c r="G36" s="80"/>
      <c r="H36" s="30">
        <f>+C36*D36</f>
        <v>0</v>
      </c>
      <c r="I36" s="87"/>
    </row>
    <row r="37" spans="2:11" x14ac:dyDescent="0.25">
      <c r="E37" t="s">
        <v>83</v>
      </c>
      <c r="F37" s="2">
        <f>+SUM(F26:F36)</f>
        <v>195899.23553593364</v>
      </c>
      <c r="H37" s="3">
        <f>SUM(H26:H36)</f>
        <v>72.332552496056394</v>
      </c>
    </row>
    <row r="38" spans="2:11" x14ac:dyDescent="0.25">
      <c r="B38" s="34"/>
      <c r="D38" s="9"/>
    </row>
    <row r="39" spans="2:11" x14ac:dyDescent="0.25">
      <c r="B39" s="34"/>
      <c r="D39" s="9"/>
    </row>
    <row r="40" spans="2:11" ht="15.75" hidden="1" thickBot="1" x14ac:dyDescent="0.3">
      <c r="B40" s="1"/>
    </row>
    <row r="41" spans="2:11" ht="19.5" hidden="1" thickBot="1" x14ac:dyDescent="0.35">
      <c r="B41" s="78" t="s">
        <v>74</v>
      </c>
      <c r="C41" s="79"/>
      <c r="D41" s="79"/>
      <c r="E41" s="79"/>
      <c r="F41" s="79"/>
      <c r="G41" s="79"/>
    </row>
    <row r="42" spans="2:11" ht="15.75" hidden="1" thickBot="1" x14ac:dyDescent="0.3">
      <c r="B42" s="14" t="s">
        <v>7</v>
      </c>
      <c r="C42" s="12">
        <f>_xlfn.XLOOKUP(C7,'gas properties'!B3:B8,'gas properties'!C3:C8)</f>
        <v>4.0030000000000001</v>
      </c>
      <c r="D42" s="20" t="s">
        <v>8</v>
      </c>
      <c r="E42" s="15"/>
      <c r="F42" s="15"/>
      <c r="G42" s="15"/>
    </row>
    <row r="43" spans="2:11" ht="15.75" hidden="1" thickBot="1" x14ac:dyDescent="0.3">
      <c r="B43" s="14"/>
      <c r="C43" s="27" t="s">
        <v>54</v>
      </c>
      <c r="D43" s="26"/>
      <c r="E43" s="24" t="s">
        <v>55</v>
      </c>
      <c r="F43" s="15"/>
      <c r="G43" s="24" t="s">
        <v>52</v>
      </c>
    </row>
    <row r="44" spans="2:11" ht="15.75" hidden="1" thickBot="1" x14ac:dyDescent="0.3">
      <c r="B44" s="14" t="s">
        <v>10</v>
      </c>
      <c r="C44" s="28">
        <f>IF(C7="WATER",999.8,(1/1000)*C61*C42/(C46*C63))</f>
        <v>5.6408814718578402</v>
      </c>
      <c r="D44" s="23" t="s">
        <v>51</v>
      </c>
      <c r="E44" s="22">
        <f>IF(C7="water","NA",[1]!PropsSI("Dmass","T",C63,"P",C61,"HEOS::"&amp;C7))</f>
        <v>5.5476639566867423</v>
      </c>
      <c r="F44" s="23" t="s">
        <v>51</v>
      </c>
      <c r="G44" s="25">
        <f>IF(C7="water","NA",+(C44-E44)/E44)</f>
        <v>1.6803021217379328E-2</v>
      </c>
    </row>
    <row r="45" spans="2:11" ht="15.75" hidden="1" thickBot="1" x14ac:dyDescent="0.3">
      <c r="B45" s="14" t="s">
        <v>9</v>
      </c>
      <c r="C45" s="29">
        <f>IF(C7="WATER",0.00002414 * 10^(247.8/(C63-140)),IF(C7="air",0.00001716*(C63/273.15)^1.5*383.55/(C63+110.4),IF(C7="nitrogen",0.00001663*(C63/273.15)^1.5*383.55/(C63+106.7),IF(C7="argon",0.00002125*(C63/273.15)^1.5*383.55/(C63+114),IF(C7="helium",0.00001865*(C63/273.15)^0.647,IF(C7="hydrogen",0.000008411*(C63/273.15)^0.678))))))</f>
        <v>1.9570297326117493E-5</v>
      </c>
      <c r="D45" s="23" t="s">
        <v>56</v>
      </c>
      <c r="E45" s="29">
        <f>[1]!PropsSI("V","T",C63,"P",C61,"HEOS::"&amp;C7)</f>
        <v>1.9789445577864146E-5</v>
      </c>
      <c r="F45" s="23" t="s">
        <v>56</v>
      </c>
      <c r="G45" s="25">
        <f>+(C45-E45)/E45</f>
        <v>-1.1073996534384222E-2</v>
      </c>
    </row>
    <row r="46" spans="2:11" ht="15.75" hidden="1" thickBot="1" x14ac:dyDescent="0.3">
      <c r="B46" s="14" t="s">
        <v>44</v>
      </c>
      <c r="C46" s="19">
        <v>8.3140000000000001</v>
      </c>
      <c r="D46" s="23" t="s">
        <v>45</v>
      </c>
      <c r="E46" s="23"/>
      <c r="F46" s="15"/>
      <c r="G46" s="15"/>
    </row>
    <row r="47" spans="2:11" ht="15.75" hidden="1" thickBot="1" x14ac:dyDescent="0.3">
      <c r="B47" s="14" t="s">
        <v>11</v>
      </c>
      <c r="C47" s="13">
        <f>C52*C51*C8*0.0254/C53</f>
        <v>843824.72802237014</v>
      </c>
      <c r="D47" s="23" t="s">
        <v>2</v>
      </c>
      <c r="E47" s="23"/>
      <c r="F47" s="15"/>
      <c r="G47" s="15"/>
    </row>
    <row r="48" spans="2:11" ht="15.75" hidden="1" thickBot="1" x14ac:dyDescent="0.3">
      <c r="B48" s="14" t="s">
        <v>64</v>
      </c>
      <c r="C48" s="37">
        <f>64/C47</f>
        <v>7.5845134510330842E-5</v>
      </c>
      <c r="D48" s="23" t="s">
        <v>2</v>
      </c>
      <c r="E48" s="23"/>
      <c r="F48" s="16"/>
      <c r="G48" s="16"/>
      <c r="H48" s="10"/>
      <c r="I48" s="10"/>
      <c r="J48" s="10"/>
      <c r="K48" s="10"/>
    </row>
    <row r="49" spans="2:11" ht="15.75" hidden="1" thickBot="1" x14ac:dyDescent="0.3">
      <c r="B49" s="14" t="s">
        <v>65</v>
      </c>
      <c r="C49" s="22">
        <f>0.25/(LOG10(C12/(3.7*C8)+5.74/(C47^0.9))^2)</f>
        <v>2.0092375693348999E-2</v>
      </c>
      <c r="D49" s="23" t="s">
        <v>2</v>
      </c>
      <c r="E49" s="23"/>
      <c r="F49" s="16"/>
      <c r="G49" s="16"/>
      <c r="H49" s="10"/>
      <c r="I49" s="10"/>
      <c r="J49" s="10"/>
      <c r="K49" s="10"/>
    </row>
    <row r="50" spans="2:11" hidden="1" x14ac:dyDescent="0.25">
      <c r="B50" s="23" t="s">
        <v>67</v>
      </c>
      <c r="C50" s="22">
        <f>IF(C7="water","NA",_xlfn.XLOOKUP(C7,'gas properties'!B4:B8,'gas properties'!D4:D8))</f>
        <v>1.67</v>
      </c>
      <c r="D50" s="23" t="s">
        <v>2</v>
      </c>
      <c r="E50" s="23"/>
      <c r="F50" s="16"/>
      <c r="G50" s="16"/>
      <c r="H50" s="10"/>
      <c r="I50" s="10"/>
      <c r="J50" s="10"/>
      <c r="K50" s="10"/>
    </row>
    <row r="51" spans="2:11" hidden="1" x14ac:dyDescent="0.25">
      <c r="B51" s="23" t="s">
        <v>60</v>
      </c>
      <c r="C51" s="21">
        <f>0.2486*C5/(C52*C8^2)</f>
        <v>230.51488629080129</v>
      </c>
      <c r="D51" s="23" t="s">
        <v>14</v>
      </c>
      <c r="E51" s="23"/>
      <c r="F51" s="10"/>
      <c r="G51" s="10"/>
      <c r="H51" s="10"/>
      <c r="I51" s="10"/>
      <c r="J51" s="10"/>
      <c r="K51" s="10"/>
    </row>
    <row r="52" spans="2:11" hidden="1" x14ac:dyDescent="0.25">
      <c r="B52" s="23" t="s">
        <v>61</v>
      </c>
      <c r="C52" s="23">
        <f>IF(C9=1,C44,E44)</f>
        <v>5.6408814718578402</v>
      </c>
      <c r="D52" s="23" t="s">
        <v>51</v>
      </c>
      <c r="E52" s="23"/>
      <c r="F52" s="10"/>
      <c r="G52" s="10"/>
      <c r="H52" s="10"/>
      <c r="I52" s="10"/>
      <c r="J52" s="10"/>
      <c r="K52" s="10"/>
    </row>
    <row r="53" spans="2:11" hidden="1" x14ac:dyDescent="0.25">
      <c r="B53" s="23" t="s">
        <v>63</v>
      </c>
      <c r="C53" s="29">
        <f>IF(C9=1,C45,E45)</f>
        <v>1.9570297326117493E-5</v>
      </c>
      <c r="D53" s="23" t="s">
        <v>56</v>
      </c>
      <c r="E53" s="23"/>
      <c r="F53" s="10"/>
      <c r="G53" s="10"/>
      <c r="H53" s="10"/>
      <c r="I53" s="10"/>
      <c r="J53" s="10"/>
      <c r="K53" s="10"/>
    </row>
    <row r="54" spans="2:11" hidden="1" x14ac:dyDescent="0.25">
      <c r="B54" s="23" t="s">
        <v>68</v>
      </c>
      <c r="C54" s="23">
        <f>SQRT(C50*C46*C63/(C42/1000))</f>
        <v>1010.2686718790139</v>
      </c>
      <c r="D54" s="23" t="s">
        <v>14</v>
      </c>
      <c r="E54" s="23"/>
      <c r="F54" s="10"/>
      <c r="G54" s="10"/>
      <c r="H54" s="10"/>
      <c r="I54" s="10"/>
      <c r="J54" s="10"/>
      <c r="K54" s="10"/>
    </row>
    <row r="55" spans="2:11" ht="60" hidden="1" x14ac:dyDescent="0.25">
      <c r="B55" s="23" t="s">
        <v>82</v>
      </c>
      <c r="C55" s="22">
        <f>0.25/(LOG10(C12/(3.7*C8))^2)</f>
        <v>1.9635465935526699E-2</v>
      </c>
      <c r="D55" s="23" t="s">
        <v>2</v>
      </c>
      <c r="E55" s="38" t="s">
        <v>79</v>
      </c>
      <c r="F55" s="10"/>
      <c r="G55" s="10"/>
      <c r="H55" s="10"/>
      <c r="I55" s="10"/>
      <c r="J55" s="10"/>
      <c r="K55" s="10"/>
    </row>
    <row r="56" spans="2:11" hidden="1" x14ac:dyDescent="0.25">
      <c r="B56" s="23" t="s">
        <v>75</v>
      </c>
      <c r="C56" s="22">
        <v>9.81</v>
      </c>
      <c r="D56" s="23" t="s">
        <v>76</v>
      </c>
      <c r="E56" s="23"/>
      <c r="F56" s="10"/>
      <c r="G56" s="10"/>
      <c r="H56" s="10"/>
      <c r="I56" s="10"/>
      <c r="J56" s="10"/>
      <c r="K56" s="10"/>
    </row>
    <row r="57" spans="2:11" ht="30" hidden="1" x14ac:dyDescent="0.25">
      <c r="B57" s="38" t="s">
        <v>78</v>
      </c>
      <c r="C57" s="22">
        <f>IF(C47&lt;5000,C48,C49)</f>
        <v>2.0092375693348999E-2</v>
      </c>
      <c r="D57" s="23" t="s">
        <v>2</v>
      </c>
      <c r="E57" s="23"/>
      <c r="F57" s="10"/>
      <c r="G57" s="10"/>
      <c r="H57" s="10"/>
      <c r="I57" s="10"/>
      <c r="J57" s="10"/>
      <c r="K57" s="10"/>
    </row>
    <row r="58" spans="2:11" hidden="1" x14ac:dyDescent="0.25">
      <c r="B58" s="40" t="s">
        <v>91</v>
      </c>
      <c r="C58" s="41">
        <f>IF(C7="water","NA",_xlfn.XLOOKUP(C7,'gas properties'!B4:B8,'gas properties'!E4:E8))</f>
        <v>0.17848116765722408</v>
      </c>
      <c r="D58" s="40" t="s">
        <v>51</v>
      </c>
      <c r="E58" s="23"/>
      <c r="F58" s="10"/>
      <c r="G58" s="10"/>
      <c r="H58" s="10"/>
      <c r="I58" s="10"/>
      <c r="J58" s="10"/>
      <c r="K58" s="10"/>
    </row>
    <row r="59" spans="2:11" hidden="1" x14ac:dyDescent="0.25">
      <c r="B59" s="23" t="s">
        <v>93</v>
      </c>
      <c r="C59" s="23">
        <f>+EXP(-EXP(0.43-0.6*C50-0.43*LN(H37)))</f>
        <v>0.9143417104974183</v>
      </c>
      <c r="D59" s="23" t="s">
        <v>2</v>
      </c>
      <c r="E59" s="23"/>
      <c r="F59" s="10"/>
      <c r="G59" s="10"/>
      <c r="H59" s="10"/>
      <c r="I59" s="10"/>
      <c r="J59" s="10"/>
      <c r="K59" s="10"/>
    </row>
    <row r="60" spans="2:11" hidden="1" x14ac:dyDescent="0.25">
      <c r="B60" s="23" t="s">
        <v>58</v>
      </c>
      <c r="C60" s="23">
        <f>PI()/4*(0.0254*C8)^2</f>
        <v>1.2667686977437442E-4</v>
      </c>
      <c r="D60" s="23" t="s">
        <v>95</v>
      </c>
      <c r="E60" s="23"/>
      <c r="F60" s="10"/>
      <c r="G60" s="10"/>
      <c r="H60" s="10"/>
      <c r="I60" s="10"/>
      <c r="J60" s="10"/>
      <c r="K60" s="10"/>
    </row>
    <row r="61" spans="2:11" hidden="1" x14ac:dyDescent="0.25">
      <c r="B61" s="23" t="s">
        <v>35</v>
      </c>
      <c r="C61" s="23">
        <f>6895*C3</f>
        <v>3447500</v>
      </c>
      <c r="D61" s="23" t="s">
        <v>43</v>
      </c>
      <c r="E61" s="23"/>
      <c r="F61" s="10"/>
      <c r="G61" s="10"/>
      <c r="H61" s="10"/>
      <c r="I61" s="10"/>
      <c r="J61" s="10"/>
      <c r="K61" s="10"/>
    </row>
    <row r="62" spans="2:11" hidden="1" x14ac:dyDescent="0.25">
      <c r="B62" s="23" t="s">
        <v>36</v>
      </c>
      <c r="C62" s="23">
        <f>6895*C4</f>
        <v>2068500</v>
      </c>
      <c r="D62" s="23" t="s">
        <v>43</v>
      </c>
      <c r="E62" s="23"/>
      <c r="F62" s="10"/>
      <c r="G62" s="10"/>
      <c r="H62" s="10"/>
      <c r="I62" s="10"/>
      <c r="J62" s="10"/>
      <c r="K62" s="10"/>
    </row>
    <row r="63" spans="2:11" hidden="1" x14ac:dyDescent="0.25">
      <c r="B63" s="23" t="s">
        <v>42</v>
      </c>
      <c r="C63" s="23">
        <f>+(C6-32)*5/9+273.15</f>
        <v>294.26111111111106</v>
      </c>
      <c r="D63" s="23" t="s">
        <v>16</v>
      </c>
      <c r="E63" s="35"/>
      <c r="F63" s="10"/>
      <c r="G63" s="10"/>
      <c r="H63" s="10"/>
      <c r="I63" s="10"/>
      <c r="J63" s="10"/>
      <c r="K63" s="10"/>
    </row>
    <row r="64" spans="2:11" hidden="1" x14ac:dyDescent="0.25">
      <c r="B64" s="35"/>
      <c r="C64" s="36"/>
      <c r="D64" s="35"/>
      <c r="E64" s="35"/>
      <c r="F64" s="10"/>
      <c r="G64" s="10"/>
      <c r="H64" s="10"/>
      <c r="I64" s="10"/>
      <c r="J64" s="10"/>
      <c r="K64" s="10"/>
    </row>
    <row r="65" spans="2:11" hidden="1" x14ac:dyDescent="0.25">
      <c r="B65" s="35"/>
      <c r="C65" s="36"/>
      <c r="D65" s="35"/>
      <c r="E65" s="35"/>
      <c r="F65" s="10"/>
      <c r="G65" s="10"/>
      <c r="H65" s="10"/>
      <c r="I65" s="10"/>
      <c r="J65" s="10"/>
      <c r="K65" s="10"/>
    </row>
    <row r="82" spans="2:2" x14ac:dyDescent="0.25">
      <c r="B82" s="39"/>
    </row>
  </sheetData>
  <sheetProtection selectLockedCells="1"/>
  <mergeCells count="9">
    <mergeCell ref="C2:D2"/>
    <mergeCell ref="E18:G18"/>
    <mergeCell ref="H18:J18"/>
    <mergeCell ref="B18:C18"/>
    <mergeCell ref="G27:G36"/>
    <mergeCell ref="I27:I36"/>
    <mergeCell ref="B41:G41"/>
    <mergeCell ref="F3:F5"/>
    <mergeCell ref="B24:I24"/>
  </mergeCells>
  <dataValidations count="2">
    <dataValidation type="list" allowBlank="1" showInputMessage="1" showErrorMessage="1" sqref="C7" xr:uid="{3819C125-508D-4F32-BFF4-394425D089B7}">
      <formula1>"WATER, AIR, ARGON, HELIUM, HYDROGEN, NITROGEN"</formula1>
    </dataValidation>
    <dataValidation type="list" allowBlank="1" showInputMessage="1" showErrorMessage="1" sqref="C10" xr:uid="{D4E19FF4-7E93-4494-9CC8-CBC29EFFB018}">
      <formula1>"isothermal,adiabatic,calculated"</formula1>
    </dataValidation>
  </dataValidations>
  <pageMargins left="0.7" right="0.7" top="0.75" bottom="0.75" header="0.3" footer="0.3"/>
  <ignoredErrors>
    <ignoredError sqref="C11 C21 G3:G8" unlocked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7931-AE4A-4CD7-BE2F-D087F8010567}">
  <sheetPr codeName="Sheet14"/>
  <dimension ref="B2:G17"/>
  <sheetViews>
    <sheetView zoomScale="70" zoomScaleNormal="70" workbookViewId="0">
      <selection activeCell="H25" sqref="H25"/>
    </sheetView>
  </sheetViews>
  <sheetFormatPr defaultRowHeight="15" x14ac:dyDescent="0.25"/>
  <cols>
    <col min="2" max="2" width="24.85546875" customWidth="1"/>
    <col min="3" max="3" width="18.85546875" bestFit="1" customWidth="1"/>
    <col min="4" max="4" width="16.85546875" bestFit="1" customWidth="1"/>
    <col min="5" max="5" width="20.85546875" customWidth="1"/>
    <col min="6" max="6" width="18.42578125" bestFit="1" customWidth="1"/>
  </cols>
  <sheetData>
    <row r="2" spans="2:7" x14ac:dyDescent="0.25">
      <c r="B2" t="s">
        <v>46</v>
      </c>
      <c r="C2" t="s">
        <v>47</v>
      </c>
      <c r="D2" t="s">
        <v>66</v>
      </c>
      <c r="E2" t="s">
        <v>92</v>
      </c>
      <c r="F2" t="s">
        <v>100</v>
      </c>
      <c r="G2" t="s">
        <v>101</v>
      </c>
    </row>
    <row r="3" spans="2:7" x14ac:dyDescent="0.25">
      <c r="B3" s="18" t="s">
        <v>41</v>
      </c>
      <c r="C3">
        <v>18.015000000000001</v>
      </c>
    </row>
    <row r="4" spans="2:7" x14ac:dyDescent="0.25">
      <c r="B4" t="s">
        <v>53</v>
      </c>
      <c r="C4">
        <v>28.97</v>
      </c>
      <c r="D4">
        <v>1.4</v>
      </c>
      <c r="E4">
        <v>1.2930656163292633</v>
      </c>
      <c r="F4">
        <v>1</v>
      </c>
      <c r="G4">
        <v>28.97</v>
      </c>
    </row>
    <row r="5" spans="2:7" x14ac:dyDescent="0.25">
      <c r="B5" s="18" t="s">
        <v>50</v>
      </c>
      <c r="C5">
        <v>28.013999999999999</v>
      </c>
      <c r="D5">
        <v>1.4</v>
      </c>
      <c r="E5">
        <v>1.250386130338901</v>
      </c>
      <c r="F5">
        <v>0.97</v>
      </c>
      <c r="G5">
        <v>28.013999999999999</v>
      </c>
    </row>
    <row r="6" spans="2:7" x14ac:dyDescent="0.25">
      <c r="B6" t="s">
        <v>48</v>
      </c>
      <c r="C6">
        <v>39.950000000000003</v>
      </c>
      <c r="D6">
        <v>1.67</v>
      </c>
      <c r="E6">
        <v>1.7839560764323867</v>
      </c>
      <c r="F6">
        <v>1.38</v>
      </c>
      <c r="G6">
        <v>39.948</v>
      </c>
    </row>
    <row r="7" spans="2:7" x14ac:dyDescent="0.25">
      <c r="B7" s="18" t="s">
        <v>49</v>
      </c>
      <c r="C7">
        <v>4.0030000000000001</v>
      </c>
      <c r="D7">
        <v>1.67</v>
      </c>
      <c r="E7">
        <v>0.17848116765722408</v>
      </c>
      <c r="F7">
        <v>0.14000000000000001</v>
      </c>
      <c r="G7">
        <v>4.0030000000000001</v>
      </c>
    </row>
    <row r="8" spans="2:7" x14ac:dyDescent="0.25">
      <c r="B8" t="s">
        <v>40</v>
      </c>
      <c r="C8">
        <v>2.016</v>
      </c>
      <c r="D8">
        <v>1.41</v>
      </c>
      <c r="E8">
        <v>8.9882376384805382E-2</v>
      </c>
      <c r="F8">
        <v>7.0000000000000007E-2</v>
      </c>
      <c r="G8">
        <v>2.016</v>
      </c>
    </row>
    <row r="9" spans="2:7" x14ac:dyDescent="0.25">
      <c r="B9" s="18"/>
    </row>
    <row r="11" spans="2:7" x14ac:dyDescent="0.25">
      <c r="B11" s="18"/>
    </row>
    <row r="13" spans="2:7" x14ac:dyDescent="0.25">
      <c r="B13" s="18"/>
    </row>
    <row r="15" spans="2:7" x14ac:dyDescent="0.25">
      <c r="B15" s="18"/>
    </row>
    <row r="17" spans="2:2" x14ac:dyDescent="0.25">
      <c r="B17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darcy incompressible</vt:lpstr>
      <vt:lpstr>darcy compressible</vt:lpstr>
      <vt:lpstr>fanno flow</vt:lpstr>
      <vt:lpstr>gas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rehm</dc:creator>
  <cp:lastModifiedBy>matt rehm</cp:lastModifiedBy>
  <cp:lastPrinted>2025-09-20T02:03:34Z</cp:lastPrinted>
  <dcterms:created xsi:type="dcterms:W3CDTF">2025-09-12T00:19:18Z</dcterms:created>
  <dcterms:modified xsi:type="dcterms:W3CDTF">2025-09-25T23:57:47Z</dcterms:modified>
</cp:coreProperties>
</file>